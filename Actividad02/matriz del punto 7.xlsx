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nte\OneDrive\Documentos\"/>
    </mc:Choice>
  </mc:AlternateContent>
  <xr:revisionPtr revIDLastSave="0" documentId="13_ncr:1_{F73F1831-8955-479C-A3D7-57CEB95A18BD}" xr6:coauthVersionLast="47" xr6:coauthVersionMax="47" xr10:uidLastSave="{00000000-0000-0000-0000-000000000000}"/>
  <bookViews>
    <workbookView xWindow="-120" yWindow="-120" windowWidth="51840" windowHeight="21120" activeTab="2" xr2:uid="{00000000-000D-0000-FFFF-FFFF00000000}"/>
  </bookViews>
  <sheets>
    <sheet name="iris.data" sheetId="1" r:id="rId1"/>
    <sheet name="disc_a1" sheetId="2" r:id="rId2"/>
    <sheet name="Evaluacion_20"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3" l="1"/>
  <c r="C31" i="3"/>
  <c r="B31" i="3"/>
  <c r="G30" i="3"/>
  <c r="D30" i="3"/>
  <c r="C30" i="3"/>
  <c r="B30" i="3"/>
  <c r="D29" i="3"/>
  <c r="C29" i="3"/>
  <c r="B29" i="3"/>
  <c r="K24" i="3"/>
  <c r="K23" i="3"/>
  <c r="K22" i="3"/>
  <c r="K21" i="3"/>
  <c r="K20" i="3"/>
  <c r="K19" i="3"/>
  <c r="K18" i="3"/>
  <c r="K17" i="3"/>
  <c r="K16" i="3"/>
  <c r="K15" i="3"/>
  <c r="K14" i="3"/>
  <c r="K13" i="3"/>
  <c r="K12" i="3"/>
  <c r="K11" i="3"/>
  <c r="K10" i="3"/>
  <c r="K9" i="3"/>
  <c r="K8" i="3"/>
  <c r="K7" i="3"/>
  <c r="K6" i="3"/>
  <c r="K5" i="3"/>
  <c r="Z339" i="2"/>
  <c r="Z334" i="2"/>
  <c r="Y301" i="2"/>
  <c r="Z268" i="2"/>
  <c r="Y264" i="2"/>
  <c r="Y260" i="2"/>
  <c r="W257" i="2"/>
  <c r="AA254" i="2"/>
  <c r="Z249" i="2"/>
  <c r="Z247" i="2"/>
  <c r="Z274" i="2" s="1"/>
  <c r="Y247" i="2"/>
  <c r="Y274" i="2" s="1"/>
  <c r="Y218" i="2"/>
  <c r="AA216" i="2"/>
  <c r="AA209" i="2"/>
  <c r="AA204" i="2"/>
  <c r="Z204" i="2"/>
  <c r="AA202" i="2"/>
  <c r="AA199" i="2"/>
  <c r="Z199" i="2"/>
  <c r="Y199" i="2"/>
  <c r="AA197" i="2"/>
  <c r="W196" i="2"/>
  <c r="Y194" i="2"/>
  <c r="AA192" i="2"/>
  <c r="Y192" i="2"/>
  <c r="AA190" i="2"/>
  <c r="Y189" i="2"/>
  <c r="W189" i="2"/>
  <c r="AA187" i="2"/>
  <c r="AA185" i="2"/>
  <c r="Y182" i="2"/>
  <c r="AA180" i="2"/>
  <c r="Z180" i="2"/>
  <c r="R179" i="2"/>
  <c r="AA335" i="2" s="1"/>
  <c r="Q179" i="2"/>
  <c r="AA334" i="2" s="1"/>
  <c r="P179" i="2"/>
  <c r="AA333" i="2" s="1"/>
  <c r="AA387" i="2" s="1"/>
  <c r="R178" i="2"/>
  <c r="AA249" i="2" s="1"/>
  <c r="AA252" i="2" s="1"/>
  <c r="Q178" i="2"/>
  <c r="AA248" i="2" s="1"/>
  <c r="P178" i="2"/>
  <c r="AA247" i="2" s="1"/>
  <c r="R177" i="2"/>
  <c r="AA232" i="2" s="1"/>
  <c r="Q177" i="2"/>
  <c r="AA231" i="2" s="1"/>
  <c r="P177" i="2"/>
  <c r="AA239" i="2" s="1"/>
  <c r="AA176" i="2"/>
  <c r="AA175" i="2"/>
  <c r="Y175" i="2"/>
  <c r="AA173" i="2"/>
  <c r="Y173" i="2"/>
  <c r="R173" i="2"/>
  <c r="Z341" i="2" s="1"/>
  <c r="Q173" i="2"/>
  <c r="Z338" i="2" s="1"/>
  <c r="P173" i="2"/>
  <c r="AA172" i="2"/>
  <c r="Y172" i="2"/>
  <c r="W172" i="2"/>
  <c r="R172" i="2"/>
  <c r="Q172" i="2"/>
  <c r="P172" i="2"/>
  <c r="Z248" i="2" s="1"/>
  <c r="R171" i="2"/>
  <c r="Q171" i="2"/>
  <c r="P171" i="2"/>
  <c r="Z216" i="2" s="1"/>
  <c r="AA169" i="2"/>
  <c r="Z169" i="2"/>
  <c r="Y169" i="2"/>
  <c r="Y168" i="2"/>
  <c r="AA167" i="2"/>
  <c r="R167" i="2"/>
  <c r="Y356" i="2" s="1"/>
  <c r="Q167" i="2"/>
  <c r="Y350" i="2" s="1"/>
  <c r="P167" i="2"/>
  <c r="Y336" i="2" s="1"/>
  <c r="AA166" i="2"/>
  <c r="Z166" i="2"/>
  <c r="Y166" i="2"/>
  <c r="R166" i="2"/>
  <c r="Y270" i="2" s="1"/>
  <c r="Q166" i="2"/>
  <c r="Y262" i="2" s="1"/>
  <c r="P166" i="2"/>
  <c r="Y253" i="2" s="1"/>
  <c r="AA165" i="2"/>
  <c r="Y165" i="2"/>
  <c r="R165" i="2"/>
  <c r="Y211" i="2" s="1"/>
  <c r="Q165" i="2"/>
  <c r="Y228" i="2" s="1"/>
  <c r="P165" i="2"/>
  <c r="Y221" i="2" s="1"/>
  <c r="Y164" i="2"/>
  <c r="W164" i="2"/>
  <c r="AA163" i="2"/>
  <c r="Y163" i="2"/>
  <c r="AA162" i="2"/>
  <c r="Y162" i="2"/>
  <c r="Y161" i="2"/>
  <c r="L161" i="2"/>
  <c r="P161" i="2" s="1"/>
  <c r="R160" i="2"/>
  <c r="Q160" i="2"/>
  <c r="P160" i="2"/>
  <c r="X267" i="2" s="1"/>
  <c r="L160" i="2"/>
  <c r="M159" i="2"/>
  <c r="R159" i="2" s="1"/>
  <c r="M155" i="2"/>
  <c r="M154" i="2"/>
  <c r="M153" i="2"/>
  <c r="W395" i="2"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X356" i="2" l="1"/>
  <c r="X349" i="2"/>
  <c r="X337" i="2"/>
  <c r="X359" i="2"/>
  <c r="X347" i="2"/>
  <c r="X335" i="2"/>
  <c r="X358" i="2"/>
  <c r="X340" i="2"/>
  <c r="X338" i="2"/>
  <c r="X336" i="2"/>
  <c r="X334" i="2"/>
  <c r="X351" i="2"/>
  <c r="X342" i="2"/>
  <c r="X353" i="2"/>
  <c r="X344" i="2"/>
  <c r="X355" i="2"/>
  <c r="X346" i="2"/>
  <c r="X352" i="2"/>
  <c r="X345" i="2"/>
  <c r="X343" i="2"/>
  <c r="X341" i="2"/>
  <c r="X339" i="2"/>
  <c r="X354" i="2"/>
  <c r="X348" i="2"/>
  <c r="X333" i="2"/>
  <c r="X357" i="2"/>
  <c r="X350" i="2"/>
  <c r="Y316" i="2"/>
  <c r="Y289" i="2"/>
  <c r="Z264" i="2"/>
  <c r="Z262" i="2"/>
  <c r="Z263" i="2"/>
  <c r="Z255" i="2"/>
  <c r="Z271" i="2"/>
  <c r="Z253" i="2"/>
  <c r="Z273" i="2"/>
  <c r="Z254" i="2"/>
  <c r="AA388" i="2"/>
  <c r="AA340" i="2"/>
  <c r="AA346" i="2"/>
  <c r="AA361" i="2"/>
  <c r="AA337" i="2"/>
  <c r="AA343" i="2"/>
  <c r="AA308" i="2"/>
  <c r="AA281" i="2"/>
  <c r="W311" i="2"/>
  <c r="W284" i="2"/>
  <c r="Y314" i="2"/>
  <c r="Y287" i="2"/>
  <c r="W411" i="2"/>
  <c r="W399" i="2"/>
  <c r="W387" i="2"/>
  <c r="W375" i="2"/>
  <c r="W363" i="2"/>
  <c r="W351" i="2"/>
  <c r="W404" i="2"/>
  <c r="W392" i="2"/>
  <c r="W380" i="2"/>
  <c r="W368" i="2"/>
  <c r="W356" i="2"/>
  <c r="W344" i="2"/>
  <c r="W273" i="2"/>
  <c r="W261" i="2"/>
  <c r="W402" i="2"/>
  <c r="W390" i="2"/>
  <c r="W378" i="2"/>
  <c r="W366" i="2"/>
  <c r="W354" i="2"/>
  <c r="W342" i="2"/>
  <c r="W271" i="2"/>
  <c r="W259" i="2"/>
  <c r="W413" i="2"/>
  <c r="W383" i="2"/>
  <c r="W374" i="2"/>
  <c r="W365" i="2"/>
  <c r="W272" i="2"/>
  <c r="W270" i="2"/>
  <c r="W268" i="2"/>
  <c r="W254" i="2"/>
  <c r="W406" i="2"/>
  <c r="W376" i="2"/>
  <c r="W367" i="2"/>
  <c r="W358" i="2"/>
  <c r="W340" i="2"/>
  <c r="W338" i="2"/>
  <c r="W336" i="2"/>
  <c r="W334" i="2"/>
  <c r="W247" i="2"/>
  <c r="W230" i="2"/>
  <c r="W408" i="2"/>
  <c r="W385" i="2"/>
  <c r="W369" i="2"/>
  <c r="W360" i="2"/>
  <c r="W252" i="2"/>
  <c r="W235" i="2"/>
  <c r="W223" i="2"/>
  <c r="W410" i="2"/>
  <c r="W401" i="2"/>
  <c r="W371" i="2"/>
  <c r="W362" i="2"/>
  <c r="W353" i="2"/>
  <c r="W412" i="2"/>
  <c r="W403" i="2"/>
  <c r="W394" i="2"/>
  <c r="W405" i="2"/>
  <c r="W396" i="2"/>
  <c r="W407" i="2"/>
  <c r="W398" i="2"/>
  <c r="W389" i="2"/>
  <c r="W359" i="2"/>
  <c r="W350" i="2"/>
  <c r="W335" i="2"/>
  <c r="W333" i="2"/>
  <c r="W400" i="2"/>
  <c r="W391" i="2"/>
  <c r="W382" i="2"/>
  <c r="W352" i="2"/>
  <c r="W337" i="2"/>
  <c r="W253" i="2"/>
  <c r="W409" i="2"/>
  <c r="W393" i="2"/>
  <c r="W384" i="2"/>
  <c r="W361" i="2"/>
  <c r="W345" i="2"/>
  <c r="W343" i="2"/>
  <c r="W341" i="2"/>
  <c r="AB341" i="2" s="1"/>
  <c r="AC341" i="2" s="1"/>
  <c r="W339" i="2"/>
  <c r="W397" i="2"/>
  <c r="W381" i="2"/>
  <c r="W372" i="2"/>
  <c r="W349" i="2"/>
  <c r="W260" i="2"/>
  <c r="W211" i="2"/>
  <c r="W199" i="2"/>
  <c r="W187" i="2"/>
  <c r="W169" i="2"/>
  <c r="W166" i="2"/>
  <c r="W249" i="2"/>
  <c r="W216" i="2"/>
  <c r="W204" i="2"/>
  <c r="W192" i="2"/>
  <c r="W180" i="2"/>
  <c r="W373" i="2"/>
  <c r="W348" i="2"/>
  <c r="W267" i="2"/>
  <c r="W263" i="2"/>
  <c r="W221" i="2"/>
  <c r="W209" i="2"/>
  <c r="W197" i="2"/>
  <c r="W185" i="2"/>
  <c r="W176" i="2"/>
  <c r="W167" i="2"/>
  <c r="W347" i="2"/>
  <c r="W251" i="2"/>
  <c r="W233" i="2"/>
  <c r="W231" i="2"/>
  <c r="W229" i="2"/>
  <c r="W227" i="2"/>
  <c r="W225" i="2"/>
  <c r="W214" i="2"/>
  <c r="W202" i="2"/>
  <c r="W190" i="2"/>
  <c r="W163" i="2"/>
  <c r="W256" i="2"/>
  <c r="W219" i="2"/>
  <c r="W207" i="2"/>
  <c r="W195" i="2"/>
  <c r="W183" i="2"/>
  <c r="W177" i="2"/>
  <c r="W174" i="2"/>
  <c r="W388" i="2"/>
  <c r="W379" i="2"/>
  <c r="W364" i="2"/>
  <c r="W262" i="2"/>
  <c r="W241" i="2"/>
  <c r="W239" i="2"/>
  <c r="W237" i="2"/>
  <c r="W212" i="2"/>
  <c r="W200" i="2"/>
  <c r="W188" i="2"/>
  <c r="W170" i="2"/>
  <c r="W161" i="2"/>
  <c r="W357" i="2"/>
  <c r="W346" i="2"/>
  <c r="W266" i="2"/>
  <c r="W248" i="2"/>
  <c r="W217" i="2"/>
  <c r="W205" i="2"/>
  <c r="W193" i="2"/>
  <c r="W181" i="2"/>
  <c r="W178" i="2"/>
  <c r="W386" i="2"/>
  <c r="W377" i="2"/>
  <c r="W250" i="2"/>
  <c r="W210" i="2"/>
  <c r="W198" i="2"/>
  <c r="W186" i="2"/>
  <c r="W171" i="2"/>
  <c r="W168" i="2"/>
  <c r="W370" i="2"/>
  <c r="W269" i="2"/>
  <c r="W265" i="2"/>
  <c r="W258" i="2"/>
  <c r="W255" i="2"/>
  <c r="W228" i="2"/>
  <c r="W226" i="2"/>
  <c r="W224" i="2"/>
  <c r="W222" i="2"/>
  <c r="W215" i="2"/>
  <c r="W203" i="2"/>
  <c r="W191" i="2"/>
  <c r="W179" i="2"/>
  <c r="W220" i="2"/>
  <c r="W208" i="2"/>
  <c r="W264" i="2"/>
  <c r="W218" i="2"/>
  <c r="W206" i="2"/>
  <c r="W194" i="2"/>
  <c r="W182" i="2"/>
  <c r="W173" i="2"/>
  <c r="Y390" i="2"/>
  <c r="Y363" i="2"/>
  <c r="Z395" i="2"/>
  <c r="Z359" i="2"/>
  <c r="Z350" i="2"/>
  <c r="Z368" i="2"/>
  <c r="W213" i="2"/>
  <c r="W232" i="2"/>
  <c r="Y318" i="2"/>
  <c r="Y291" i="2"/>
  <c r="W201" i="2"/>
  <c r="W234" i="2"/>
  <c r="Z295" i="2"/>
  <c r="Z322" i="2"/>
  <c r="Z361" i="2"/>
  <c r="Z388" i="2"/>
  <c r="Z343" i="2"/>
  <c r="Z352" i="2"/>
  <c r="Y324" i="2"/>
  <c r="Y297" i="2"/>
  <c r="W162" i="2"/>
  <c r="Y410" i="2"/>
  <c r="Y383" i="2"/>
  <c r="Z221" i="2"/>
  <c r="Z238" i="2"/>
  <c r="Z231" i="2"/>
  <c r="Z229" i="2"/>
  <c r="Z227" i="2"/>
  <c r="Z223" i="2"/>
  <c r="Z214" i="2"/>
  <c r="Z202" i="2"/>
  <c r="Z219" i="2"/>
  <c r="Z195" i="2"/>
  <c r="Z183" i="2"/>
  <c r="Z177" i="2"/>
  <c r="Z174" i="2"/>
  <c r="Z241" i="2"/>
  <c r="Z239" i="2"/>
  <c r="Z237" i="2"/>
  <c r="Z212" i="2"/>
  <c r="Z200" i="2"/>
  <c r="Z205" i="2"/>
  <c r="Z193" i="2"/>
  <c r="Z178" i="2"/>
  <c r="Z210" i="2"/>
  <c r="Z186" i="2"/>
  <c r="Z168" i="2"/>
  <c r="Z222" i="2"/>
  <c r="Z203" i="2"/>
  <c r="Z191" i="2"/>
  <c r="Z164" i="2"/>
  <c r="Z220" i="2"/>
  <c r="Z196" i="2"/>
  <c r="Z184" i="2"/>
  <c r="Z175" i="2"/>
  <c r="Z236" i="2"/>
  <c r="Z232" i="2"/>
  <c r="Z230" i="2"/>
  <c r="Z228" i="2"/>
  <c r="Z213" i="2"/>
  <c r="Z201" i="2"/>
  <c r="Z165" i="2"/>
  <c r="Z218" i="2"/>
  <c r="Z194" i="2"/>
  <c r="Z182" i="2"/>
  <c r="Z173" i="2"/>
  <c r="Z240" i="2"/>
  <c r="Z211" i="2"/>
  <c r="Z209" i="2"/>
  <c r="Z185" i="2"/>
  <c r="Z176" i="2"/>
  <c r="AA274" i="2"/>
  <c r="AA250" i="2"/>
  <c r="AA259" i="2"/>
  <c r="AA301" i="2"/>
  <c r="AA256" i="2"/>
  <c r="AA253" i="2"/>
  <c r="Z192" i="2"/>
  <c r="W236" i="2"/>
  <c r="Z272" i="2"/>
  <c r="Z366" i="2"/>
  <c r="Z393" i="2"/>
  <c r="Z357" i="2"/>
  <c r="Z348" i="2"/>
  <c r="AA347" i="2"/>
  <c r="AA362" i="2"/>
  <c r="AA338" i="2"/>
  <c r="AA389" i="2"/>
  <c r="AA341" i="2"/>
  <c r="Z347" i="2"/>
  <c r="Z392" i="2"/>
  <c r="Z365" i="2"/>
  <c r="Z356" i="2"/>
  <c r="Y240" i="2"/>
  <c r="Y233" i="2"/>
  <c r="Y209" i="2"/>
  <c r="Y185" i="2"/>
  <c r="Y214" i="2"/>
  <c r="Y207" i="2"/>
  <c r="Y183" i="2"/>
  <c r="Y241" i="2"/>
  <c r="Y239" i="2"/>
  <c r="Y237" i="2"/>
  <c r="Y235" i="2"/>
  <c r="Y212" i="2"/>
  <c r="Y181" i="2"/>
  <c r="Y210" i="2"/>
  <c r="Y186" i="2"/>
  <c r="Y179" i="2"/>
  <c r="Y208" i="2"/>
  <c r="Y184" i="2"/>
  <c r="Y238" i="2"/>
  <c r="Y236" i="2"/>
  <c r="Y234" i="2"/>
  <c r="Y213" i="2"/>
  <c r="Y206" i="2"/>
  <c r="Y180" i="2"/>
  <c r="Z233" i="2"/>
  <c r="Z226" i="2"/>
  <c r="Z225" i="2"/>
  <c r="Z190" i="2"/>
  <c r="Z163" i="2"/>
  <c r="Z207" i="2"/>
  <c r="Z235" i="2"/>
  <c r="Z188" i="2"/>
  <c r="Z170" i="2"/>
  <c r="Z161" i="2"/>
  <c r="Z217" i="2"/>
  <c r="Z181" i="2"/>
  <c r="Z198" i="2"/>
  <c r="Z171" i="2"/>
  <c r="Z224" i="2"/>
  <c r="Z215" i="2"/>
  <c r="Z179" i="2"/>
  <c r="Z208" i="2"/>
  <c r="Z172" i="2"/>
  <c r="Z234" i="2"/>
  <c r="Z189" i="2"/>
  <c r="Z162" i="2"/>
  <c r="Z206" i="2"/>
  <c r="Z197" i="2"/>
  <c r="X235" i="2"/>
  <c r="X223" i="2"/>
  <c r="X240" i="2"/>
  <c r="X228" i="2"/>
  <c r="X216" i="2"/>
  <c r="X221" i="2"/>
  <c r="X233" i="2"/>
  <c r="X231" i="2"/>
  <c r="X229" i="2"/>
  <c r="X227" i="2"/>
  <c r="X225" i="2"/>
  <c r="X219" i="2"/>
  <c r="X241" i="2"/>
  <c r="X239" i="2"/>
  <c r="X237" i="2"/>
  <c r="X217" i="2"/>
  <c r="X226" i="2"/>
  <c r="X224" i="2"/>
  <c r="X222" i="2"/>
  <c r="X215" i="2"/>
  <c r="X220" i="2"/>
  <c r="X238" i="2"/>
  <c r="X236" i="2"/>
  <c r="X234" i="2"/>
  <c r="X232" i="2"/>
  <c r="X230" i="2"/>
  <c r="Z167" i="2"/>
  <c r="W238" i="2"/>
  <c r="AB238" i="2" s="1"/>
  <c r="AC238" i="2" s="1"/>
  <c r="AA344" i="2"/>
  <c r="R161" i="2"/>
  <c r="Q161" i="2"/>
  <c r="W165" i="2"/>
  <c r="W184" i="2"/>
  <c r="Z302" i="2"/>
  <c r="Z275" i="2"/>
  <c r="AA306" i="2"/>
  <c r="AA279" i="2"/>
  <c r="Y187" i="2"/>
  <c r="X218" i="2"/>
  <c r="W240" i="2"/>
  <c r="AB240" i="2" s="1"/>
  <c r="AC240" i="2" s="1"/>
  <c r="Z276" i="2"/>
  <c r="Z303" i="2"/>
  <c r="Y377" i="2"/>
  <c r="Y404" i="2"/>
  <c r="Y307" i="2"/>
  <c r="Y280" i="2"/>
  <c r="Z250" i="2"/>
  <c r="Z261" i="2"/>
  <c r="Z259" i="2"/>
  <c r="Z269" i="2"/>
  <c r="Z260" i="2"/>
  <c r="Z251" i="2"/>
  <c r="Z270" i="2"/>
  <c r="Z252" i="2"/>
  <c r="W175" i="2"/>
  <c r="Z187" i="2"/>
  <c r="W355" i="2"/>
  <c r="Y204" i="2"/>
  <c r="AA214" i="2"/>
  <c r="Y216" i="2"/>
  <c r="AA221" i="2"/>
  <c r="AA223" i="2"/>
  <c r="AA225" i="2"/>
  <c r="AA227" i="2"/>
  <c r="AA229" i="2"/>
  <c r="X247" i="2"/>
  <c r="Y249" i="2"/>
  <c r="X260" i="2"/>
  <c r="Y268" i="2"/>
  <c r="Y272" i="2"/>
  <c r="Y334" i="2"/>
  <c r="Z301" i="2"/>
  <c r="AA339" i="2"/>
  <c r="AA257" i="2"/>
  <c r="AA302" i="2"/>
  <c r="AA260" i="2"/>
  <c r="Y201" i="2"/>
  <c r="AA211" i="2"/>
  <c r="Y230" i="2"/>
  <c r="Y232" i="2"/>
  <c r="AA240" i="2"/>
  <c r="X261" i="2"/>
  <c r="Y273" i="2"/>
  <c r="Y335" i="2"/>
  <c r="Z340" i="2"/>
  <c r="AA276" i="2"/>
  <c r="AA261" i="2"/>
  <c r="AA255" i="2"/>
  <c r="AA182" i="2"/>
  <c r="AA194" i="2"/>
  <c r="Y196" i="2"/>
  <c r="AA206" i="2"/>
  <c r="AA218" i="2"/>
  <c r="Y220" i="2"/>
  <c r="X255" i="2"/>
  <c r="X258" i="2"/>
  <c r="Y261" i="2"/>
  <c r="X265" i="2"/>
  <c r="X269" i="2"/>
  <c r="AA345" i="2"/>
  <c r="AA189" i="2"/>
  <c r="Y191" i="2"/>
  <c r="AA201" i="2"/>
  <c r="Y203" i="2"/>
  <c r="AA213" i="2"/>
  <c r="Y215" i="2"/>
  <c r="Y222" i="2"/>
  <c r="Y224" i="2"/>
  <c r="Y226" i="2"/>
  <c r="AA228" i="2"/>
  <c r="AA230" i="2"/>
  <c r="AA234" i="2"/>
  <c r="AA236" i="2"/>
  <c r="X250" i="2"/>
  <c r="Y255" i="2"/>
  <c r="Y258" i="2"/>
  <c r="X270" i="2"/>
  <c r="Y340" i="2"/>
  <c r="Y341" i="2"/>
  <c r="Y339" i="2"/>
  <c r="Y337" i="2"/>
  <c r="Y171" i="2"/>
  <c r="AA238" i="2"/>
  <c r="AA226" i="2"/>
  <c r="AA184" i="2"/>
  <c r="AA196" i="2"/>
  <c r="Y198" i="2"/>
  <c r="AA208" i="2"/>
  <c r="AA220" i="2"/>
  <c r="X248" i="2"/>
  <c r="X253" i="2"/>
  <c r="AA258" i="2"/>
  <c r="Y266" i="2"/>
  <c r="Z336" i="2"/>
  <c r="P159" i="2"/>
  <c r="AA164" i="2"/>
  <c r="Y349" i="2"/>
  <c r="Y342" i="2"/>
  <c r="Y344" i="2"/>
  <c r="Y346" i="2"/>
  <c r="Y348" i="2"/>
  <c r="Y345" i="2"/>
  <c r="Y343" i="2"/>
  <c r="Y347" i="2"/>
  <c r="Y178" i="2"/>
  <c r="AA179" i="2"/>
  <c r="AA191" i="2"/>
  <c r="Y193" i="2"/>
  <c r="AA203" i="2"/>
  <c r="Y205" i="2"/>
  <c r="AA215" i="2"/>
  <c r="Y217" i="2"/>
  <c r="AA222" i="2"/>
  <c r="AA224" i="2"/>
  <c r="Y248" i="2"/>
  <c r="X262" i="2"/>
  <c r="Z266" i="2"/>
  <c r="AA303" i="2"/>
  <c r="AA336" i="2"/>
  <c r="Q159" i="2"/>
  <c r="Y252" i="2"/>
  <c r="Y250" i="2"/>
  <c r="Y251" i="2"/>
  <c r="Y354" i="2"/>
  <c r="Y352" i="2"/>
  <c r="Y351" i="2"/>
  <c r="Y353" i="2"/>
  <c r="Y355" i="2"/>
  <c r="Y357" i="2"/>
  <c r="Y358" i="2"/>
  <c r="AA168" i="2"/>
  <c r="Y170" i="2"/>
  <c r="AA171" i="2"/>
  <c r="AA186" i="2"/>
  <c r="Y188" i="2"/>
  <c r="AA198" i="2"/>
  <c r="Y200" i="2"/>
  <c r="AA210" i="2"/>
  <c r="X256" i="2"/>
  <c r="Z337" i="2"/>
  <c r="AA342" i="2"/>
  <c r="Y259" i="2"/>
  <c r="Y257" i="2"/>
  <c r="Y263" i="2"/>
  <c r="Z335" i="2"/>
  <c r="Z333" i="2"/>
  <c r="Y174" i="2"/>
  <c r="Y177" i="2"/>
  <c r="AA178" i="2"/>
  <c r="AA181" i="2"/>
  <c r="AA193" i="2"/>
  <c r="Y195" i="2"/>
  <c r="AA205" i="2"/>
  <c r="AA217" i="2"/>
  <c r="Y219" i="2"/>
  <c r="X251" i="2"/>
  <c r="Y256" i="2"/>
  <c r="X259" i="2"/>
  <c r="X271" i="2"/>
  <c r="AA275" i="2"/>
  <c r="Y359" i="2"/>
  <c r="AA161" i="2"/>
  <c r="Y271" i="2"/>
  <c r="Y269" i="2"/>
  <c r="Y267" i="2"/>
  <c r="Y265" i="2"/>
  <c r="AA170" i="2"/>
  <c r="AA188" i="2"/>
  <c r="Y190" i="2"/>
  <c r="AA200" i="2"/>
  <c r="Y202" i="2"/>
  <c r="AA212" i="2"/>
  <c r="Y223" i="2"/>
  <c r="Y225" i="2"/>
  <c r="Y227" i="2"/>
  <c r="Y229" i="2"/>
  <c r="Y231" i="2"/>
  <c r="AA233" i="2"/>
  <c r="AA235" i="2"/>
  <c r="AA237" i="2"/>
  <c r="AA241" i="2"/>
  <c r="X254" i="2"/>
  <c r="X263" i="2"/>
  <c r="Y338" i="2"/>
  <c r="X266" i="2"/>
  <c r="X264" i="2"/>
  <c r="X252" i="2"/>
  <c r="X257" i="2"/>
  <c r="AB257" i="2" s="1"/>
  <c r="AC257" i="2" s="1"/>
  <c r="X273" i="2"/>
  <c r="Y167" i="2"/>
  <c r="Z257" i="2"/>
  <c r="Z267" i="2"/>
  <c r="Z265" i="2"/>
  <c r="Z258" i="2"/>
  <c r="Z256" i="2"/>
  <c r="AA174" i="2"/>
  <c r="Y176" i="2"/>
  <c r="AA177" i="2"/>
  <c r="AA183" i="2"/>
  <c r="AA195" i="2"/>
  <c r="Y197" i="2"/>
  <c r="AA207" i="2"/>
  <c r="AA219" i="2"/>
  <c r="X249" i="2"/>
  <c r="AA251" i="2"/>
  <c r="Y254" i="2"/>
  <c r="X268" i="2"/>
  <c r="X272" i="2"/>
  <c r="Y333" i="2"/>
  <c r="AA360" i="2"/>
  <c r="G29" i="3"/>
  <c r="G28" i="3"/>
  <c r="G31" i="3" s="1"/>
  <c r="AA269" i="2" l="1"/>
  <c r="AA314" i="2"/>
  <c r="AA263" i="2"/>
  <c r="AA266" i="2"/>
  <c r="AA287" i="2"/>
  <c r="AA272" i="2"/>
  <c r="AA304" i="2"/>
  <c r="AA277" i="2"/>
  <c r="AA288" i="2"/>
  <c r="AA267" i="2"/>
  <c r="AB267" i="2" s="1"/>
  <c r="AC267" i="2" s="1"/>
  <c r="AA273" i="2"/>
  <c r="AA315" i="2"/>
  <c r="AA270" i="2"/>
  <c r="AA264" i="2"/>
  <c r="Y286" i="2"/>
  <c r="Y313" i="2"/>
  <c r="AA278" i="2"/>
  <c r="AA305" i="2"/>
  <c r="Z319" i="2"/>
  <c r="Z292" i="2"/>
  <c r="Y283" i="2"/>
  <c r="Y310" i="2"/>
  <c r="Z362" i="2"/>
  <c r="Z353" i="2"/>
  <c r="Z344" i="2"/>
  <c r="Z389" i="2"/>
  <c r="Y306" i="2"/>
  <c r="Y279" i="2"/>
  <c r="Y376" i="2"/>
  <c r="Y403" i="2"/>
  <c r="Z324" i="2"/>
  <c r="Z297" i="2"/>
  <c r="AA371" i="2"/>
  <c r="AA398" i="2"/>
  <c r="AA286" i="2"/>
  <c r="AA265" i="2"/>
  <c r="AA271" i="2"/>
  <c r="AA313" i="2"/>
  <c r="AA262" i="2"/>
  <c r="AA268" i="2"/>
  <c r="AB217" i="2"/>
  <c r="AC217" i="2" s="1"/>
  <c r="AB241" i="2"/>
  <c r="AC241" i="2" s="1"/>
  <c r="AB176" i="2"/>
  <c r="AC176" i="2" s="1"/>
  <c r="AB216" i="2"/>
  <c r="AC216" i="2" s="1"/>
  <c r="AB339" i="2"/>
  <c r="AC339" i="2" s="1"/>
  <c r="W281" i="2"/>
  <c r="AB254" i="2"/>
  <c r="AC254" i="2" s="1"/>
  <c r="W308" i="2"/>
  <c r="Z307" i="2"/>
  <c r="Z280" i="2"/>
  <c r="AA359" i="2"/>
  <c r="AA374" i="2"/>
  <c r="AA350" i="2"/>
  <c r="AA356" i="2"/>
  <c r="AA401" i="2"/>
  <c r="AA353" i="2"/>
  <c r="W303" i="2"/>
  <c r="W276" i="2"/>
  <c r="AB249" i="2"/>
  <c r="AC249" i="2" s="1"/>
  <c r="Z314" i="2"/>
  <c r="Z287" i="2"/>
  <c r="Z402" i="2"/>
  <c r="Z375" i="2"/>
  <c r="AB234" i="2"/>
  <c r="AC234" i="2" s="1"/>
  <c r="AB215" i="2"/>
  <c r="AC215" i="2" s="1"/>
  <c r="W293" i="2"/>
  <c r="AB266" i="2"/>
  <c r="AC266" i="2" s="1"/>
  <c r="W320" i="2"/>
  <c r="AB343" i="2"/>
  <c r="AC343" i="2" s="1"/>
  <c r="AB333" i="2"/>
  <c r="AC333" i="2" s="1"/>
  <c r="AB353" i="2"/>
  <c r="AC353" i="2" s="1"/>
  <c r="AB230" i="2"/>
  <c r="AC230" i="2" s="1"/>
  <c r="W324" i="2"/>
  <c r="W297" i="2"/>
  <c r="AB270" i="2"/>
  <c r="AC270" i="2" s="1"/>
  <c r="AB390" i="2"/>
  <c r="AC390" i="2" s="1"/>
  <c r="Z282" i="2"/>
  <c r="Z309" i="2"/>
  <c r="Z294" i="2"/>
  <c r="Z321" i="2"/>
  <c r="AB262" i="2"/>
  <c r="AC262" i="2" s="1"/>
  <c r="W316" i="2"/>
  <c r="W289" i="2"/>
  <c r="Z325" i="2"/>
  <c r="Z298" i="2"/>
  <c r="Y311" i="2"/>
  <c r="Y284" i="2"/>
  <c r="AB284" i="2" s="1"/>
  <c r="AC284" i="2" s="1"/>
  <c r="Z411" i="2"/>
  <c r="Z384" i="2"/>
  <c r="AB222" i="2"/>
  <c r="AC222" i="2" s="1"/>
  <c r="AB209" i="2"/>
  <c r="AC209" i="2" s="1"/>
  <c r="AB345" i="2"/>
  <c r="AC345" i="2" s="1"/>
  <c r="AB335" i="2"/>
  <c r="AC335" i="2" s="1"/>
  <c r="W274" i="2"/>
  <c r="AB274" i="2" s="1"/>
  <c r="AC274" i="2" s="1"/>
  <c r="AB247" i="2"/>
  <c r="AC247" i="2" s="1"/>
  <c r="W301" i="2"/>
  <c r="AB301" i="2" s="1"/>
  <c r="AC301" i="2" s="1"/>
  <c r="AB272" i="2"/>
  <c r="AC272" i="2" s="1"/>
  <c r="W299" i="2"/>
  <c r="W326" i="2"/>
  <c r="Z317" i="2"/>
  <c r="Z290" i="2"/>
  <c r="Z390" i="2"/>
  <c r="Z354" i="2"/>
  <c r="Z345" i="2"/>
  <c r="Z363" i="2"/>
  <c r="AA284" i="2"/>
  <c r="AA311" i="2"/>
  <c r="AA396" i="2"/>
  <c r="AA369" i="2"/>
  <c r="Y293" i="2"/>
  <c r="Y320" i="2"/>
  <c r="Y364" i="2"/>
  <c r="Y391" i="2"/>
  <c r="Y288" i="2"/>
  <c r="Y315" i="2"/>
  <c r="Z394" i="2"/>
  <c r="Z367" i="2"/>
  <c r="Z358" i="2"/>
  <c r="Z349" i="2"/>
  <c r="AA393" i="2"/>
  <c r="AA366" i="2"/>
  <c r="Z313" i="2"/>
  <c r="Z286" i="2"/>
  <c r="AB182" i="2"/>
  <c r="AC182" i="2" s="1"/>
  <c r="AB224" i="2"/>
  <c r="AC224" i="2" s="1"/>
  <c r="AB225" i="2"/>
  <c r="AC225" i="2" s="1"/>
  <c r="AB221" i="2"/>
  <c r="AC221" i="2" s="1"/>
  <c r="AB350" i="2"/>
  <c r="AC350" i="2" s="1"/>
  <c r="AB334" i="2"/>
  <c r="AC334" i="2" s="1"/>
  <c r="AB365" i="2"/>
  <c r="AC365" i="2" s="1"/>
  <c r="W315" i="2"/>
  <c r="AB315" i="2" s="1"/>
  <c r="AC315" i="2" s="1"/>
  <c r="AB261" i="2"/>
  <c r="AC261" i="2" s="1"/>
  <c r="W288" i="2"/>
  <c r="AA370" i="2"/>
  <c r="AA397" i="2"/>
  <c r="Z316" i="2"/>
  <c r="Z289" i="2"/>
  <c r="Y323" i="2"/>
  <c r="Y296" i="2"/>
  <c r="Z355" i="2"/>
  <c r="Z346" i="2"/>
  <c r="Z364" i="2"/>
  <c r="Z391" i="2"/>
  <c r="Y409" i="2"/>
  <c r="Y382" i="2"/>
  <c r="Y401" i="2"/>
  <c r="Y374" i="2"/>
  <c r="AA312" i="2"/>
  <c r="AA285" i="2"/>
  <c r="Y366" i="2"/>
  <c r="Y393" i="2"/>
  <c r="Y362" i="2"/>
  <c r="Y389" i="2"/>
  <c r="Z288" i="2"/>
  <c r="Z315" i="2"/>
  <c r="Z383" i="2"/>
  <c r="Z410" i="2"/>
  <c r="AB194" i="2"/>
  <c r="AC194" i="2" s="1"/>
  <c r="AB226" i="2"/>
  <c r="AC226" i="2" s="1"/>
  <c r="W304" i="2"/>
  <c r="AB250" i="2"/>
  <c r="AC250" i="2" s="1"/>
  <c r="W277" i="2"/>
  <c r="AB174" i="2"/>
  <c r="AC174" i="2" s="1"/>
  <c r="AB227" i="2"/>
  <c r="AC227" i="2" s="1"/>
  <c r="AB263" i="2"/>
  <c r="AC263" i="2" s="1"/>
  <c r="W317" i="2"/>
  <c r="W290" i="2"/>
  <c r="AB199" i="2"/>
  <c r="AC199" i="2" s="1"/>
  <c r="AB359" i="2"/>
  <c r="AC359" i="2" s="1"/>
  <c r="AB336" i="2"/>
  <c r="AC336" i="2" s="1"/>
  <c r="AB374" i="2"/>
  <c r="AC374" i="2" s="1"/>
  <c r="W327" i="2"/>
  <c r="W300" i="2"/>
  <c r="AB273" i="2"/>
  <c r="AC273" i="2" s="1"/>
  <c r="AA364" i="2"/>
  <c r="AA391" i="2"/>
  <c r="Z318" i="2"/>
  <c r="Z291" i="2"/>
  <c r="AA363" i="2"/>
  <c r="AA390" i="2"/>
  <c r="Y319" i="2"/>
  <c r="Y292" i="2"/>
  <c r="Y397" i="2"/>
  <c r="AB397" i="2" s="1"/>
  <c r="AC397" i="2" s="1"/>
  <c r="Y370" i="2"/>
  <c r="Y368" i="2"/>
  <c r="Y395" i="2"/>
  <c r="Y300" i="2"/>
  <c r="Y327" i="2"/>
  <c r="Y361" i="2"/>
  <c r="Y388" i="2"/>
  <c r="Z304" i="2"/>
  <c r="Z277" i="2"/>
  <c r="Z326" i="2"/>
  <c r="Z299" i="2"/>
  <c r="AB206" i="2"/>
  <c r="AC206" i="2" s="1"/>
  <c r="AB228" i="2"/>
  <c r="AC228" i="2" s="1"/>
  <c r="AB229" i="2"/>
  <c r="AC229" i="2" s="1"/>
  <c r="W321" i="2"/>
  <c r="W294" i="2"/>
  <c r="AB393" i="2"/>
  <c r="AC393" i="2" s="1"/>
  <c r="AB338" i="2"/>
  <c r="AC338" i="2" s="1"/>
  <c r="AB344" i="2"/>
  <c r="AC344" i="2" s="1"/>
  <c r="X204" i="2"/>
  <c r="X192" i="2"/>
  <c r="X209" i="2"/>
  <c r="X197" i="2"/>
  <c r="AB197" i="2" s="1"/>
  <c r="AC197" i="2" s="1"/>
  <c r="X214" i="2"/>
  <c r="AB214" i="2" s="1"/>
  <c r="AC214" i="2" s="1"/>
  <c r="X202" i="2"/>
  <c r="AB202" i="2" s="1"/>
  <c r="AC202" i="2" s="1"/>
  <c r="X190" i="2"/>
  <c r="AB190" i="2" s="1"/>
  <c r="AC190" i="2" s="1"/>
  <c r="X207" i="2"/>
  <c r="AB207" i="2" s="1"/>
  <c r="AC207" i="2" s="1"/>
  <c r="X195" i="2"/>
  <c r="AB195" i="2" s="1"/>
  <c r="AC195" i="2" s="1"/>
  <c r="X212" i="2"/>
  <c r="X200" i="2"/>
  <c r="X188" i="2"/>
  <c r="X205" i="2"/>
  <c r="X193" i="2"/>
  <c r="X210" i="2"/>
  <c r="AB210" i="2" s="1"/>
  <c r="AC210" i="2" s="1"/>
  <c r="X198" i="2"/>
  <c r="AB198" i="2" s="1"/>
  <c r="AC198" i="2" s="1"/>
  <c r="X203" i="2"/>
  <c r="AB203" i="2" s="1"/>
  <c r="AC203" i="2" s="1"/>
  <c r="X191" i="2"/>
  <c r="AB191" i="2" s="1"/>
  <c r="AC191" i="2" s="1"/>
  <c r="X208" i="2"/>
  <c r="X196" i="2"/>
  <c r="AB196" i="2" s="1"/>
  <c r="AC196" i="2" s="1"/>
  <c r="X213" i="2"/>
  <c r="AB213" i="2" s="1"/>
  <c r="AC213" i="2" s="1"/>
  <c r="X211" i="2"/>
  <c r="AB211" i="2" s="1"/>
  <c r="AC211" i="2" s="1"/>
  <c r="X199" i="2"/>
  <c r="X189" i="2"/>
  <c r="AB189" i="2" s="1"/>
  <c r="AC189" i="2" s="1"/>
  <c r="X194" i="2"/>
  <c r="X206" i="2"/>
  <c r="X201" i="2"/>
  <c r="AB201" i="2" s="1"/>
  <c r="AC201" i="2" s="1"/>
  <c r="W322" i="2"/>
  <c r="AB268" i="2"/>
  <c r="AC268" i="2" s="1"/>
  <c r="W295" i="2"/>
  <c r="X180" i="2"/>
  <c r="X185" i="2"/>
  <c r="AB185" i="2" s="1"/>
  <c r="AC185" i="2" s="1"/>
  <c r="X176" i="2"/>
  <c r="X167" i="2"/>
  <c r="X163" i="2"/>
  <c r="AB163" i="2" s="1"/>
  <c r="AC163" i="2" s="1"/>
  <c r="X183" i="2"/>
  <c r="X177" i="2"/>
  <c r="AB177" i="2" s="1"/>
  <c r="AC177" i="2" s="1"/>
  <c r="X174" i="2"/>
  <c r="X170" i="2"/>
  <c r="AB170" i="2" s="1"/>
  <c r="AC170" i="2" s="1"/>
  <c r="X161" i="2"/>
  <c r="AB161" i="2" s="1"/>
  <c r="AC161" i="2" s="1"/>
  <c r="X181" i="2"/>
  <c r="X178" i="2"/>
  <c r="AB178" i="2" s="1"/>
  <c r="AC178" i="2" s="1"/>
  <c r="X186" i="2"/>
  <c r="AB186" i="2" s="1"/>
  <c r="AC186" i="2" s="1"/>
  <c r="X171" i="2"/>
  <c r="AB171" i="2" s="1"/>
  <c r="AC171" i="2" s="1"/>
  <c r="X168" i="2"/>
  <c r="AB168" i="2" s="1"/>
  <c r="AC168" i="2" s="1"/>
  <c r="X179" i="2"/>
  <c r="X164" i="2"/>
  <c r="AB164" i="2" s="1"/>
  <c r="AC164" i="2" s="1"/>
  <c r="X184" i="2"/>
  <c r="X175" i="2"/>
  <c r="X172" i="2"/>
  <c r="AB172" i="2" s="1"/>
  <c r="AC172" i="2" s="1"/>
  <c r="X187" i="2"/>
  <c r="AB187" i="2" s="1"/>
  <c r="AC187" i="2" s="1"/>
  <c r="X182" i="2"/>
  <c r="X165" i="2"/>
  <c r="X173" i="2"/>
  <c r="AB173" i="2" s="1"/>
  <c r="AC173" i="2" s="1"/>
  <c r="X166" i="2"/>
  <c r="AB166" i="2" s="1"/>
  <c r="AC166" i="2" s="1"/>
  <c r="X162" i="2"/>
  <c r="AB162" i="2" s="1"/>
  <c r="AC162" i="2" s="1"/>
  <c r="X169" i="2"/>
  <c r="AB169" i="2" s="1"/>
  <c r="AC169" i="2" s="1"/>
  <c r="Y385" i="2"/>
  <c r="Y412" i="2"/>
  <c r="Z323" i="2"/>
  <c r="Z296" i="2"/>
  <c r="Z293" i="2"/>
  <c r="Z320" i="2"/>
  <c r="Y399" i="2"/>
  <c r="Y372" i="2"/>
  <c r="Y394" i="2"/>
  <c r="Y367" i="2"/>
  <c r="AB367" i="2" s="1"/>
  <c r="AC367" i="2" s="1"/>
  <c r="Y326" i="2"/>
  <c r="Y299" i="2"/>
  <c r="AB236" i="2"/>
  <c r="AC236" i="2" s="1"/>
  <c r="AB232" i="2"/>
  <c r="AC232" i="2" s="1"/>
  <c r="AB218" i="2"/>
  <c r="AC218" i="2" s="1"/>
  <c r="AB255" i="2"/>
  <c r="AC255" i="2" s="1"/>
  <c r="W309" i="2"/>
  <c r="W282" i="2"/>
  <c r="AB188" i="2"/>
  <c r="AC188" i="2" s="1"/>
  <c r="AB183" i="2"/>
  <c r="AC183" i="2" s="1"/>
  <c r="AB231" i="2"/>
  <c r="AC231" i="2" s="1"/>
  <c r="AB260" i="2"/>
  <c r="AC260" i="2" s="1"/>
  <c r="W314" i="2"/>
  <c r="AB314" i="2" s="1"/>
  <c r="AC314" i="2" s="1"/>
  <c r="W287" i="2"/>
  <c r="AB287" i="2" s="1"/>
  <c r="AC287" i="2" s="1"/>
  <c r="AB223" i="2"/>
  <c r="AC223" i="2" s="1"/>
  <c r="AB340" i="2"/>
  <c r="AC340" i="2" s="1"/>
  <c r="AB356" i="2"/>
  <c r="AC356" i="2" s="1"/>
  <c r="AA400" i="2"/>
  <c r="AA352" i="2"/>
  <c r="AA355" i="2"/>
  <c r="AA373" i="2"/>
  <c r="AA358" i="2"/>
  <c r="AA349" i="2"/>
  <c r="AB248" i="2"/>
  <c r="AC248" i="2" s="1"/>
  <c r="W275" i="2"/>
  <c r="W302" i="2"/>
  <c r="Z311" i="2"/>
  <c r="Z284" i="2"/>
  <c r="Y294" i="2"/>
  <c r="Y321" i="2"/>
  <c r="Y302" i="2"/>
  <c r="Y275" i="2"/>
  <c r="Y379" i="2"/>
  <c r="Y406" i="2"/>
  <c r="Y295" i="2"/>
  <c r="Y322" i="2"/>
  <c r="AB184" i="2"/>
  <c r="AC184" i="2" s="1"/>
  <c r="Z401" i="2"/>
  <c r="Z374" i="2"/>
  <c r="Z379" i="2"/>
  <c r="Z406" i="2"/>
  <c r="W291" i="2"/>
  <c r="AB264" i="2"/>
  <c r="AC264" i="2" s="1"/>
  <c r="W318" i="2"/>
  <c r="W312" i="2"/>
  <c r="W285" i="2"/>
  <c r="AB258" i="2"/>
  <c r="AC258" i="2" s="1"/>
  <c r="AB200" i="2"/>
  <c r="AC200" i="2" s="1"/>
  <c r="AB233" i="2"/>
  <c r="AC233" i="2" s="1"/>
  <c r="AB349" i="2"/>
  <c r="AC349" i="2" s="1"/>
  <c r="AB253" i="2"/>
  <c r="AC253" i="2" s="1"/>
  <c r="W280" i="2"/>
  <c r="W307" i="2"/>
  <c r="AB307" i="2" s="1"/>
  <c r="AC307" i="2" s="1"/>
  <c r="AB235" i="2"/>
  <c r="AC235" i="2" s="1"/>
  <c r="W286" i="2"/>
  <c r="AB259" i="2"/>
  <c r="AC259" i="2" s="1"/>
  <c r="W313" i="2"/>
  <c r="AB313" i="2" s="1"/>
  <c r="AC313" i="2" s="1"/>
  <c r="AA394" i="2"/>
  <c r="AA367" i="2"/>
  <c r="Y317" i="2"/>
  <c r="Y290" i="2"/>
  <c r="AA348" i="2"/>
  <c r="AA357" i="2"/>
  <c r="AA372" i="2"/>
  <c r="AA354" i="2"/>
  <c r="AA351" i="2"/>
  <c r="AA399" i="2"/>
  <c r="Z305" i="2"/>
  <c r="Z278" i="2"/>
  <c r="Y378" i="2"/>
  <c r="Y405" i="2"/>
  <c r="Y360" i="2"/>
  <c r="Y387" i="2"/>
  <c r="Y386" i="2"/>
  <c r="Y413" i="2"/>
  <c r="Y402" i="2"/>
  <c r="Y375" i="2"/>
  <c r="AB355" i="2"/>
  <c r="AC355" i="2" s="1"/>
  <c r="Y392" i="2"/>
  <c r="Y365" i="2"/>
  <c r="Y408" i="2"/>
  <c r="Y381" i="2"/>
  <c r="Y373" i="2"/>
  <c r="Y400" i="2"/>
  <c r="Y312" i="2"/>
  <c r="Y285" i="2"/>
  <c r="AB165" i="2"/>
  <c r="AC165" i="2" s="1"/>
  <c r="AA395" i="2"/>
  <c r="AA368" i="2"/>
  <c r="AA280" i="2"/>
  <c r="AA307" i="2"/>
  <c r="Z370" i="2"/>
  <c r="Z397" i="2"/>
  <c r="AB208" i="2"/>
  <c r="AC208" i="2" s="1"/>
  <c r="AB265" i="2"/>
  <c r="AC265" i="2" s="1"/>
  <c r="W292" i="2"/>
  <c r="W319" i="2"/>
  <c r="AB181" i="2"/>
  <c r="AC181" i="2" s="1"/>
  <c r="AB212" i="2"/>
  <c r="AC212" i="2" s="1"/>
  <c r="W305" i="2"/>
  <c r="W278" i="2"/>
  <c r="AB251" i="2"/>
  <c r="AC251" i="2" s="1"/>
  <c r="AB180" i="2"/>
  <c r="AC180" i="2" s="1"/>
  <c r="AB337" i="2"/>
  <c r="AC337" i="2" s="1"/>
  <c r="W279" i="2"/>
  <c r="W306" i="2"/>
  <c r="AB306" i="2" s="1"/>
  <c r="AC306" i="2" s="1"/>
  <c r="AB252" i="2"/>
  <c r="AC252" i="2" s="1"/>
  <c r="W298" i="2"/>
  <c r="AB271" i="2"/>
  <c r="AC271" i="2" s="1"/>
  <c r="W325" i="2"/>
  <c r="Y380" i="2"/>
  <c r="Y407" i="2"/>
  <c r="Z283" i="2"/>
  <c r="Z310" i="2"/>
  <c r="Y305" i="2"/>
  <c r="Y278" i="2"/>
  <c r="Y371" i="2"/>
  <c r="Y398" i="2"/>
  <c r="Y282" i="2"/>
  <c r="Y309" i="2"/>
  <c r="Y276" i="2"/>
  <c r="Y303" i="2"/>
  <c r="AB175" i="2"/>
  <c r="AC175" i="2" s="1"/>
  <c r="X380" i="2"/>
  <c r="X368" i="2"/>
  <c r="AB368" i="2" s="1"/>
  <c r="AC368" i="2" s="1"/>
  <c r="X385" i="2"/>
  <c r="X373" i="2"/>
  <c r="X361" i="2"/>
  <c r="AB361" i="2" s="1"/>
  <c r="AC361" i="2" s="1"/>
  <c r="X383" i="2"/>
  <c r="X371" i="2"/>
  <c r="X376" i="2"/>
  <c r="X367" i="2"/>
  <c r="X369" i="2"/>
  <c r="X360" i="2"/>
  <c r="AB360" i="2" s="1"/>
  <c r="AC360" i="2" s="1"/>
  <c r="X378" i="2"/>
  <c r="X362" i="2"/>
  <c r="AB362" i="2" s="1"/>
  <c r="AC362" i="2" s="1"/>
  <c r="X364" i="2"/>
  <c r="AB364" i="2" s="1"/>
  <c r="AC364" i="2" s="1"/>
  <c r="X382" i="2"/>
  <c r="X384" i="2"/>
  <c r="X375" i="2"/>
  <c r="X386" i="2"/>
  <c r="X377" i="2"/>
  <c r="X374" i="2"/>
  <c r="X365" i="2"/>
  <c r="X381" i="2"/>
  <c r="X366" i="2"/>
  <c r="AB366" i="2" s="1"/>
  <c r="AC366" i="2" s="1"/>
  <c r="X379" i="2"/>
  <c r="X372" i="2"/>
  <c r="X370" i="2"/>
  <c r="AB370" i="2" s="1"/>
  <c r="AC370" i="2" s="1"/>
  <c r="X363" i="2"/>
  <c r="AB363" i="2" s="1"/>
  <c r="AC363" i="2" s="1"/>
  <c r="AA310" i="2"/>
  <c r="AA283" i="2"/>
  <c r="Z377" i="2"/>
  <c r="Z404" i="2"/>
  <c r="AB220" i="2"/>
  <c r="AC220" i="2" s="1"/>
  <c r="AB269" i="2"/>
  <c r="AC269" i="2" s="1"/>
  <c r="W323" i="2"/>
  <c r="W296" i="2"/>
  <c r="AB193" i="2"/>
  <c r="AC193" i="2" s="1"/>
  <c r="AB237" i="2"/>
  <c r="AC237" i="2" s="1"/>
  <c r="AB219" i="2"/>
  <c r="AC219" i="2" s="1"/>
  <c r="AB347" i="2"/>
  <c r="AC347" i="2" s="1"/>
  <c r="AB192" i="2"/>
  <c r="AC192" i="2" s="1"/>
  <c r="AB352" i="2"/>
  <c r="AC352" i="2" s="1"/>
  <c r="AB342" i="2"/>
  <c r="AC342" i="2" s="1"/>
  <c r="Z281" i="2"/>
  <c r="Z308" i="2"/>
  <c r="AA282" i="2"/>
  <c r="AA309" i="2"/>
  <c r="Y384" i="2"/>
  <c r="Y411" i="2"/>
  <c r="Y298" i="2"/>
  <c r="Y325" i="2"/>
  <c r="Y281" i="2"/>
  <c r="Y308" i="2"/>
  <c r="Z312" i="2"/>
  <c r="Z285" i="2"/>
  <c r="Z342" i="2"/>
  <c r="Z387" i="2"/>
  <c r="Z360" i="2"/>
  <c r="Z351" i="2"/>
  <c r="Y304" i="2"/>
  <c r="Y277" i="2"/>
  <c r="Y369" i="2"/>
  <c r="Y396" i="2"/>
  <c r="Z306" i="2"/>
  <c r="Z279" i="2"/>
  <c r="X404" i="2"/>
  <c r="X392" i="2"/>
  <c r="AB392" i="2" s="1"/>
  <c r="AC392" i="2" s="1"/>
  <c r="X409" i="2"/>
  <c r="X397" i="2"/>
  <c r="X407" i="2"/>
  <c r="X395" i="2"/>
  <c r="AB395" i="2" s="1"/>
  <c r="AC395" i="2" s="1"/>
  <c r="X406" i="2"/>
  <c r="X408" i="2"/>
  <c r="X399" i="2"/>
  <c r="X410" i="2"/>
  <c r="X401" i="2"/>
  <c r="AB401" i="2" s="1"/>
  <c r="AC401" i="2" s="1"/>
  <c r="X412" i="2"/>
  <c r="X403" i="2"/>
  <c r="X394" i="2"/>
  <c r="X405" i="2"/>
  <c r="X396" i="2"/>
  <c r="X387" i="2"/>
  <c r="AB387" i="2" s="1"/>
  <c r="AC387" i="2" s="1"/>
  <c r="X398" i="2"/>
  <c r="X389" i="2"/>
  <c r="AB389" i="2" s="1"/>
  <c r="AC389" i="2" s="1"/>
  <c r="X400" i="2"/>
  <c r="X391" i="2"/>
  <c r="AB391" i="2" s="1"/>
  <c r="AC391" i="2" s="1"/>
  <c r="X393" i="2"/>
  <c r="X402" i="2"/>
  <c r="X413" i="2"/>
  <c r="X390" i="2"/>
  <c r="X388" i="2"/>
  <c r="AB388" i="2" s="1"/>
  <c r="AC388" i="2" s="1"/>
  <c r="X411" i="2"/>
  <c r="AA365" i="2"/>
  <c r="AA392" i="2"/>
  <c r="Z386" i="2"/>
  <c r="Z413" i="2"/>
  <c r="AB179" i="2"/>
  <c r="AC179" i="2" s="1"/>
  <c r="AB205" i="2"/>
  <c r="AC205" i="2" s="1"/>
  <c r="AB239" i="2"/>
  <c r="AC239" i="2" s="1"/>
  <c r="W310" i="2"/>
  <c r="AB256" i="2"/>
  <c r="AC256" i="2" s="1"/>
  <c r="W283" i="2"/>
  <c r="AB167" i="2"/>
  <c r="AC167" i="2" s="1"/>
  <c r="AB204" i="2"/>
  <c r="AC204" i="2" s="1"/>
  <c r="AB394" i="2"/>
  <c r="AC394" i="2" s="1"/>
  <c r="AB354" i="2"/>
  <c r="AC354" i="2" s="1"/>
  <c r="AB311" i="2"/>
  <c r="AC311" i="2" s="1"/>
  <c r="Z300" i="2"/>
  <c r="Z327" i="2"/>
  <c r="AB379" i="2" l="1"/>
  <c r="AC379" i="2" s="1"/>
  <c r="AB378" i="2"/>
  <c r="AC378" i="2" s="1"/>
  <c r="AB405" i="2"/>
  <c r="AC405" i="2" s="1"/>
  <c r="AB377" i="2"/>
  <c r="AC377" i="2" s="1"/>
  <c r="AB411" i="2"/>
  <c r="AC411" i="2" s="1"/>
  <c r="AB383" i="2"/>
  <c r="AC383" i="2" s="1"/>
  <c r="AB403" i="2"/>
  <c r="AC403" i="2" s="1"/>
  <c r="AA402" i="2"/>
  <c r="AB402" i="2" s="1"/>
  <c r="AC402" i="2" s="1"/>
  <c r="AA375" i="2"/>
  <c r="AB375" i="2" s="1"/>
  <c r="AC375" i="2" s="1"/>
  <c r="AA384" i="2"/>
  <c r="AB384" i="2" s="1"/>
  <c r="AC384" i="2" s="1"/>
  <c r="AA411" i="2"/>
  <c r="AB312" i="2"/>
  <c r="AC312" i="2" s="1"/>
  <c r="AA412" i="2"/>
  <c r="AA385" i="2"/>
  <c r="AA386" i="2"/>
  <c r="AB386" i="2" s="1"/>
  <c r="AC386" i="2" s="1"/>
  <c r="AA413" i="2"/>
  <c r="AB413" i="2" s="1"/>
  <c r="AC413" i="2" s="1"/>
  <c r="AA300" i="2"/>
  <c r="AB300" i="2" s="1"/>
  <c r="AC300" i="2" s="1"/>
  <c r="AA327" i="2"/>
  <c r="Z400" i="2"/>
  <c r="AB400" i="2" s="1"/>
  <c r="AC400" i="2" s="1"/>
  <c r="Z373" i="2"/>
  <c r="AB373" i="2" s="1"/>
  <c r="AC373" i="2" s="1"/>
  <c r="Z378" i="2"/>
  <c r="Z405" i="2"/>
  <c r="AB279" i="2"/>
  <c r="AC279" i="2" s="1"/>
  <c r="AB292" i="2"/>
  <c r="AC292" i="2" s="1"/>
  <c r="AB280" i="2"/>
  <c r="AC280" i="2" s="1"/>
  <c r="AA382" i="2"/>
  <c r="AA409" i="2"/>
  <c r="AB409" i="2" s="1"/>
  <c r="AC409" i="2" s="1"/>
  <c r="AB348" i="2"/>
  <c r="AC348" i="2" s="1"/>
  <c r="AB327" i="2"/>
  <c r="AC327" i="2" s="1"/>
  <c r="Z382" i="2"/>
  <c r="Z409" i="2"/>
  <c r="AB276" i="2"/>
  <c r="AC276" i="2" s="1"/>
  <c r="AA379" i="2"/>
  <c r="AA406" i="2"/>
  <c r="AB406" i="2" s="1"/>
  <c r="AC406" i="2" s="1"/>
  <c r="AB277" i="2"/>
  <c r="AC277" i="2" s="1"/>
  <c r="AB297" i="2"/>
  <c r="AC297" i="2" s="1"/>
  <c r="AB293" i="2"/>
  <c r="AC293" i="2" s="1"/>
  <c r="AB303" i="2"/>
  <c r="AC303" i="2" s="1"/>
  <c r="AB351" i="2"/>
  <c r="AC351" i="2" s="1"/>
  <c r="Z369" i="2"/>
  <c r="AB369" i="2" s="1"/>
  <c r="AC369" i="2" s="1"/>
  <c r="Z396" i="2"/>
  <c r="AB396" i="2" s="1"/>
  <c r="AC396" i="2" s="1"/>
  <c r="AB304" i="2"/>
  <c r="AC304" i="2" s="1"/>
  <c r="AB326" i="2"/>
  <c r="AC326" i="2" s="1"/>
  <c r="AB308" i="2"/>
  <c r="AC308" i="2" s="1"/>
  <c r="AB283" i="2"/>
  <c r="AC283" i="2" s="1"/>
  <c r="AB322" i="2"/>
  <c r="AC322" i="2" s="1"/>
  <c r="Z403" i="2"/>
  <c r="Z376" i="2"/>
  <c r="AB346" i="2"/>
  <c r="AC346" i="2" s="1"/>
  <c r="AA326" i="2"/>
  <c r="AA299" i="2"/>
  <c r="AB299" i="2" s="1"/>
  <c r="AC299" i="2" s="1"/>
  <c r="AB282" i="2"/>
  <c r="AC282" i="2" s="1"/>
  <c r="Z385" i="2"/>
  <c r="AB385" i="2" s="1"/>
  <c r="AC385" i="2" s="1"/>
  <c r="Z412" i="2"/>
  <c r="AB412" i="2" s="1"/>
  <c r="AC412" i="2" s="1"/>
  <c r="AA407" i="2"/>
  <c r="AA380" i="2"/>
  <c r="AB281" i="2"/>
  <c r="AC281" i="2" s="1"/>
  <c r="AA322" i="2"/>
  <c r="AA295" i="2"/>
  <c r="AB295" i="2" s="1"/>
  <c r="AC295" i="2" s="1"/>
  <c r="AB302" i="2"/>
  <c r="AC302" i="2" s="1"/>
  <c r="AB309" i="2"/>
  <c r="AC309" i="2" s="1"/>
  <c r="AA316" i="2"/>
  <c r="AB316" i="2" s="1"/>
  <c r="AC316" i="2" s="1"/>
  <c r="AA289" i="2"/>
  <c r="AB289" i="2" s="1"/>
  <c r="AC289" i="2" s="1"/>
  <c r="AA320" i="2"/>
  <c r="AB320" i="2" s="1"/>
  <c r="AC320" i="2" s="1"/>
  <c r="AA293" i="2"/>
  <c r="AA294" i="2"/>
  <c r="AB294" i="2" s="1"/>
  <c r="AC294" i="2" s="1"/>
  <c r="AA321" i="2"/>
  <c r="AB321" i="2" s="1"/>
  <c r="AC321" i="2" s="1"/>
  <c r="AB305" i="2"/>
  <c r="AC305" i="2" s="1"/>
  <c r="AA378" i="2"/>
  <c r="AA405" i="2"/>
  <c r="AB286" i="2"/>
  <c r="AC286" i="2" s="1"/>
  <c r="AB275" i="2"/>
  <c r="AC275" i="2" s="1"/>
  <c r="AB290" i="2"/>
  <c r="AC290" i="2" s="1"/>
  <c r="Z372" i="2"/>
  <c r="AB372" i="2" s="1"/>
  <c r="AC372" i="2" s="1"/>
  <c r="Z399" i="2"/>
  <c r="AB399" i="2" s="1"/>
  <c r="AC399" i="2" s="1"/>
  <c r="AA383" i="2"/>
  <c r="AA410" i="2"/>
  <c r="AB410" i="2" s="1"/>
  <c r="AC410" i="2" s="1"/>
  <c r="AA318" i="2"/>
  <c r="AB318" i="2" s="1"/>
  <c r="AC318" i="2" s="1"/>
  <c r="AA291" i="2"/>
  <c r="AB291" i="2" s="1"/>
  <c r="AC291" i="2" s="1"/>
  <c r="AA290" i="2"/>
  <c r="AA317" i="2"/>
  <c r="AB317" i="2" s="1"/>
  <c r="AC317" i="2" s="1"/>
  <c r="AB278" i="2"/>
  <c r="AC278" i="2" s="1"/>
  <c r="AB298" i="2"/>
  <c r="AC298" i="2" s="1"/>
  <c r="AA381" i="2"/>
  <c r="AA408" i="2"/>
  <c r="AB358" i="2"/>
  <c r="AC358" i="2" s="1"/>
  <c r="AB288" i="2"/>
  <c r="AC288" i="2" s="1"/>
  <c r="AB357" i="2"/>
  <c r="AC357" i="2" s="1"/>
  <c r="Z381" i="2"/>
  <c r="Z408" i="2"/>
  <c r="AB408" i="2" s="1"/>
  <c r="AC408" i="2" s="1"/>
  <c r="AA404" i="2"/>
  <c r="AB404" i="2" s="1"/>
  <c r="AC404" i="2" s="1"/>
  <c r="AA377" i="2"/>
  <c r="AA298" i="2"/>
  <c r="AA325" i="2"/>
  <c r="AB325" i="2" s="1"/>
  <c r="AC325" i="2" s="1"/>
  <c r="Z371" i="2"/>
  <c r="AB371" i="2" s="1"/>
  <c r="AC371" i="2" s="1"/>
  <c r="Z398" i="2"/>
  <c r="AB398" i="2" s="1"/>
  <c r="AC398" i="2" s="1"/>
  <c r="AA324" i="2"/>
  <c r="AB324" i="2" s="1"/>
  <c r="AC324" i="2" s="1"/>
  <c r="AA297" i="2"/>
  <c r="AB310" i="2"/>
  <c r="AC310" i="2" s="1"/>
  <c r="AB285" i="2"/>
  <c r="AC285" i="2" s="1"/>
  <c r="AA376" i="2"/>
  <c r="AA403" i="2"/>
  <c r="AA292" i="2"/>
  <c r="AA319" i="2"/>
  <c r="AB319" i="2" s="1"/>
  <c r="AC319" i="2" s="1"/>
  <c r="Z407" i="2"/>
  <c r="AB407" i="2" s="1"/>
  <c r="AC407" i="2" s="1"/>
  <c r="Z380" i="2"/>
  <c r="AB380" i="2" s="1"/>
  <c r="AC380" i="2" s="1"/>
  <c r="AA296" i="2"/>
  <c r="AB296" i="2" s="1"/>
  <c r="AC296" i="2" s="1"/>
  <c r="AA323" i="2"/>
  <c r="AB323" i="2" s="1"/>
  <c r="AC323" i="2" s="1"/>
  <c r="AB376" i="2" l="1"/>
  <c r="AC376" i="2" s="1"/>
  <c r="AB382" i="2"/>
  <c r="AC382" i="2" s="1"/>
  <c r="AB381" i="2"/>
  <c r="AC381" i="2" s="1"/>
</calcChain>
</file>

<file path=xl/sharedStrings.xml><?xml version="1.0" encoding="utf-8"?>
<sst xmlns="http://schemas.openxmlformats.org/spreadsheetml/2006/main" count="1896" uniqueCount="102">
  <si>
    <t>sepall</t>
  </si>
  <si>
    <t>sepalw</t>
  </si>
  <si>
    <t>petall</t>
  </si>
  <si>
    <t>petalw</t>
  </si>
  <si>
    <t>clase</t>
  </si>
  <si>
    <t>Iris-setosa</t>
  </si>
  <si>
    <t>Iris-versicolor</t>
  </si>
  <si>
    <t>Iris-virginica</t>
  </si>
  <si>
    <t>chico</t>
  </si>
  <si>
    <t>grande</t>
  </si>
  <si>
    <t>mediano</t>
  </si>
  <si>
    <t>Probabilidades a priori P(clase)</t>
  </si>
  <si>
    <t>P(C)</t>
  </si>
  <si>
    <t>Datos</t>
  </si>
  <si>
    <t>p</t>
  </si>
  <si>
    <t>setosa</t>
  </si>
  <si>
    <t>p(setosa)</t>
  </si>
  <si>
    <t>versicolor</t>
  </si>
  <si>
    <t>p(versicolor)</t>
  </si>
  <si>
    <t>virginica</t>
  </si>
  <si>
    <t>p(virginica)</t>
  </si>
  <si>
    <t xml:space="preserve">Calculando P(Xi|C) </t>
  </si>
  <si>
    <t>Frecuencia de valores de sepall según la clase</t>
  </si>
  <si>
    <t xml:space="preserve">P(sepall=ch|clase) </t>
  </si>
  <si>
    <t xml:space="preserve">P(sepall=med|clase) </t>
  </si>
  <si>
    <t xml:space="preserve">P(sepall=gde|clase) </t>
  </si>
  <si>
    <r>
      <t>Para las instancias observaadas con atributos X = (X</t>
    </r>
    <r>
      <rPr>
        <sz val="11"/>
        <color theme="1"/>
        <rFont val="Calibri"/>
        <family val="2"/>
        <scheme val="minor"/>
      </rPr>
      <t>1</t>
    </r>
    <r>
      <rPr>
        <sz val="11"/>
        <color theme="1"/>
        <rFont val="Calibri"/>
        <family val="2"/>
        <scheme val="minor"/>
      </rPr>
      <t>, X</t>
    </r>
    <r>
      <rPr>
        <sz val="11"/>
        <color theme="1"/>
        <rFont val="Calibri"/>
        <family val="2"/>
        <scheme val="minor"/>
      </rPr>
      <t>2</t>
    </r>
    <r>
      <rPr>
        <sz val="11"/>
        <color theme="1"/>
        <rFont val="Calibri"/>
        <family val="2"/>
        <scheme val="minor"/>
      </rPr>
      <t>, ..., X</t>
    </r>
    <r>
      <rPr>
        <sz val="11"/>
        <color theme="1"/>
        <rFont val="Calibri"/>
        <family val="2"/>
        <scheme val="minor"/>
      </rPr>
      <t>n</t>
    </r>
    <r>
      <rPr>
        <sz val="11"/>
        <color theme="1"/>
        <rFont val="Calibri"/>
        <family val="2"/>
        <scheme val="minor"/>
      </rPr>
      <t>), con X=(sepall, sepalw, petall, petalw)</t>
    </r>
  </si>
  <si>
    <t>ch</t>
  </si>
  <si>
    <t>m</t>
  </si>
  <si>
    <t>g</t>
  </si>
  <si>
    <t>CLASIFICADOR BAYESIANO SIMPLE</t>
  </si>
  <si>
    <t>SETOSA</t>
  </si>
  <si>
    <t>P(SL|C)</t>
  </si>
  <si>
    <t>P(SW|C/M/G)</t>
  </si>
  <si>
    <t>P(PL|C/M/G)</t>
  </si>
  <si>
    <t>P(PW|C/M/G)</t>
  </si>
  <si>
    <t>a priori</t>
  </si>
  <si>
    <t xml:space="preserve">P(C=Set </t>
  </si>
  <si>
    <t>| sl=ch</t>
  </si>
  <si>
    <t>,sw=ch,pl=ch,pw=ch) ~</t>
  </si>
  <si>
    <t>,sw=ch,pl=ch,pw=med) ~</t>
  </si>
  <si>
    <t>Frecuencia de valores de sepalw según la clase</t>
  </si>
  <si>
    <t xml:space="preserve">P(sepalw=ch|clase) </t>
  </si>
  <si>
    <t xml:space="preserve">P(sepalw=med|clase) </t>
  </si>
  <si>
    <t xml:space="preserve">P(sepalw=gde|clase) </t>
  </si>
  <si>
    <t>,sw=ch,pl=ch,pw=gde) ~</t>
  </si>
  <si>
    <t>,sw=ch,pl=med,pw=ch) ~</t>
  </si>
  <si>
    <t>,sw=ch,pl=med,pw=med) ~</t>
  </si>
  <si>
    <t>,sw=ch,pl=med,pw=gde) ~</t>
  </si>
  <si>
    <t>,sw=ch,pl=gde,pw=ch) ~</t>
  </si>
  <si>
    <t>,sw=ch,pl=gde,pw=med) ~</t>
  </si>
  <si>
    <t>Frecuencia de valores de petall según la clase</t>
  </si>
  <si>
    <t xml:space="preserve">P(petall=ch|clase) </t>
  </si>
  <si>
    <t xml:space="preserve">P(petall=med|clase) </t>
  </si>
  <si>
    <t xml:space="preserve">P(petall=gde|clase) </t>
  </si>
  <si>
    <t>,sw=ch,pl=gde,pw=gde) ~</t>
  </si>
  <si>
    <t>,sw=med,pl=ch,pw=ch) ~</t>
  </si>
  <si>
    <t>,sw=med,pl=ch,pw=med) ~</t>
  </si>
  <si>
    <t>,sw=med,pl=ch,pw=gde) ~</t>
  </si>
  <si>
    <t>,sw=med,pl=med,pw=ch) ~</t>
  </si>
  <si>
    <t>,sw=med,pl=med,pw=med) ~</t>
  </si>
  <si>
    <t>Frecuencia de valores de petalw según la clase</t>
  </si>
  <si>
    <t xml:space="preserve">P(petalw=ch|clase) </t>
  </si>
  <si>
    <t xml:space="preserve">P(petalw=med|clase) </t>
  </si>
  <si>
    <t xml:space="preserve">P(petalw=gde|clase) </t>
  </si>
  <si>
    <t>,sw=med,pl=med,pw=gde) ~</t>
  </si>
  <si>
    <t>,sw=med,pl=gde,pw=ch) ~</t>
  </si>
  <si>
    <t>,sw=med,pl=gde,pw=med) ~</t>
  </si>
  <si>
    <t>,sw=med,pl=gde,pw=gde) ~</t>
  </si>
  <si>
    <t>,sw=gde,pl=ch,pw=ch) ~</t>
  </si>
  <si>
    <t>,sw=gde,pl=ch,pw=med) ~</t>
  </si>
  <si>
    <t>,sw=gde,pl=ch,pw=gde) ~</t>
  </si>
  <si>
    <t>,sw=gde,pl=med,pw=ch) ~</t>
  </si>
  <si>
    <t>,sw=gde,pl=med,pw=med) ~</t>
  </si>
  <si>
    <t>,sw=gde,pl=med,pw=gde) ~</t>
  </si>
  <si>
    <t>,sw=gde,pl=gde,pw=ch) ~</t>
  </si>
  <si>
    <t>,sw=gde,pl=gde,pw=med) ~</t>
  </si>
  <si>
    <t>,sw=gde,pl=gde,pw=gde) ~</t>
  </si>
  <si>
    <t>| sl=me</t>
  </si>
  <si>
    <t>| sl=gd</t>
  </si>
  <si>
    <t>VERSICOLOR</t>
  </si>
  <si>
    <t>P(C=Ver</t>
  </si>
  <si>
    <t xml:space="preserve">P(C=Ver </t>
  </si>
  <si>
    <t>VIRGINICA</t>
  </si>
  <si>
    <t>P(C=Vir</t>
  </si>
  <si>
    <t>Evaluación del clasificador Naive Bayes con 20 observaciones</t>
  </si>
  <si>
    <t>No. observación</t>
  </si>
  <si>
    <t>Clase real</t>
  </si>
  <si>
    <t>Predicción</t>
  </si>
  <si>
    <t>P(Setosa)</t>
  </si>
  <si>
    <t>P(Virginica)</t>
  </si>
  <si>
    <t>P(Versicolor)</t>
  </si>
  <si>
    <t>Resultado</t>
  </si>
  <si>
    <t>Matriz de confusión</t>
  </si>
  <si>
    <t>Resumen</t>
  </si>
  <si>
    <t>Valor</t>
  </si>
  <si>
    <t>Predicción \ Real</t>
  </si>
  <si>
    <t>Aciertos</t>
  </si>
  <si>
    <t>Errores</t>
  </si>
  <si>
    <t>Total</t>
  </si>
  <si>
    <t>Exactitud</t>
  </si>
  <si>
    <t>Interpretación: los valores de la diagonal principal representan clasificaciones correctas. En esta muestra, 19 de 20 observaciones fueron clasificadas correctamente. La observación 98 es versicolor, pero el clasificador la predice como virginica, por lo que la exactitud es 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</si>
</sst>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6" x14ac:knownFonts="1">
    <font>
      <sz val="11"/>
      <color theme="1"/>
      <name val="Calibri"/>
    </font>
    <font>
      <sz val="11"/>
      <color theme="1"/>
      <name val="Calibri"/>
      <family val="2"/>
      <scheme val="minor"/>
    </font>
    <font>
      <sz val="11"/>
      <color theme="1"/>
      <name val="Calibri"/>
    </font>
    <font>
      <sz val="18"/>
      <color theme="3"/>
      <name val="Calibri Light"/>
    </font>
    <font>
      <b/>
      <sz val="15"/>
      <color theme="3"/>
      <name val="Calibri"/>
    </font>
    <font>
      <b/>
      <sz val="13"/>
      <color theme="3"/>
      <name val="Calibri"/>
    </font>
    <font>
      <b/>
      <sz val="11"/>
      <color theme="3"/>
      <name val="Calibri"/>
    </font>
    <font>
      <sz val="11"/>
      <color rgb="FF006100"/>
      <name val="Calibri"/>
    </font>
    <font>
      <sz val="11"/>
      <color rgb="FF9C0006"/>
      <name val="Calibri"/>
    </font>
    <font>
      <sz val="11"/>
      <color rgb="FF9C5700"/>
      <name val="Calibri"/>
    </font>
    <font>
      <sz val="11"/>
      <color rgb="FF3F3F76"/>
      <name val="Calibri"/>
    </font>
    <font>
      <b/>
      <sz val="11"/>
      <color rgb="FF3F3F3F"/>
      <name val="Calibri"/>
    </font>
    <font>
      <b/>
      <sz val="11"/>
      <color rgb="FFFA7D00"/>
      <name val="Calibri"/>
    </font>
    <font>
      <sz val="11"/>
      <color rgb="FFFA7D00"/>
      <name val="Calibri"/>
    </font>
    <font>
      <b/>
      <sz val="11"/>
      <color theme="0"/>
      <name val="Calibri"/>
    </font>
    <font>
      <sz val="11"/>
      <color rgb="FFFF0000"/>
      <name val="Calibri"/>
    </font>
    <font>
      <i/>
      <sz val="11"/>
      <color rgb="FF7F7F7F"/>
      <name val="Calibri"/>
    </font>
    <font>
      <b/>
      <sz val="11"/>
      <color theme="1"/>
      <name val="Calibri"/>
    </font>
    <font>
      <sz val="11"/>
      <color theme="0"/>
      <name val="Calibri"/>
    </font>
    <font>
      <b/>
      <sz val="10"/>
      <name val="Arial"/>
    </font>
    <font>
      <sz val="20"/>
      <color rgb="FF000000"/>
      <name val="Calibri"/>
    </font>
    <font>
      <sz val="11"/>
      <color rgb="FF00B050"/>
      <name val="Calibri"/>
    </font>
    <font>
      <sz val="11"/>
      <color theme="1"/>
      <name val="Arial"/>
      <family val="2"/>
    </font>
    <font>
      <b/>
      <sz val="14"/>
      <color rgb="FFFFFFFF"/>
      <name val="Arial"/>
      <family val="2"/>
    </font>
    <font>
      <b/>
      <sz val="11"/>
      <color rgb="FFFFFFFF"/>
      <name val="Arial"/>
      <family val="2"/>
    </font>
    <font>
      <b/>
      <sz val="11"/>
      <color theme="1"/>
      <name val="Arial"/>
      <family val="2"/>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
      <patternFill patternType="solid">
        <fgColor theme="8"/>
      </patternFill>
    </fill>
    <fill>
      <patternFill patternType="solid">
        <fgColor theme="9"/>
      </patternFill>
    </fill>
    <fill>
      <patternFill patternType="solid">
        <fgColor theme="7"/>
      </patternFill>
    </fill>
    <fill>
      <patternFill patternType="solid">
        <fgColor theme="2" tint="-9.9978637043366805E-2"/>
        <bgColor indexed="65"/>
      </patternFill>
    </fill>
    <fill>
      <patternFill patternType="solid">
        <fgColor theme="4" tint="0.79995117038483843"/>
        <bgColor indexed="65"/>
      </patternFill>
    </fill>
    <fill>
      <patternFill patternType="solid">
        <fgColor theme="5" tint="0.79995117038483843"/>
        <bgColor indexed="65"/>
      </patternFill>
    </fill>
    <fill>
      <patternFill patternType="solid">
        <fgColor theme="0" tint="-4.9989318521683403E-2"/>
        <bgColor indexed="65"/>
      </patternFill>
    </fill>
    <fill>
      <patternFill patternType="solid">
        <fgColor theme="9" tint="0.79995117038483843"/>
        <bgColor indexed="65"/>
      </patternFill>
    </fill>
    <fill>
      <patternFill patternType="solid">
        <fgColor theme="7" tint="0.79995117038483843"/>
        <bgColor indexed="65"/>
      </patternFill>
    </fill>
    <fill>
      <patternFill patternType="solid">
        <fgColor rgb="FFFF0000"/>
      </patternFill>
    </fill>
    <fill>
      <patternFill patternType="solid">
        <fgColor rgb="FF7030A0"/>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2CC"/>
      </patternFill>
    </fill>
  </fills>
  <borders count="47">
    <border>
      <left/>
      <right/>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08">
    <xf numFmtId="0" fontId="0" fillId="0" borderId="0" xfId="0"/>
    <xf numFmtId="0" fontId="0" fillId="0" borderId="10" xfId="0" applyBorder="1"/>
    <xf numFmtId="0" fontId="0" fillId="0" borderId="12" xfId="0" applyBorder="1"/>
    <xf numFmtId="0" fontId="0" fillId="0" borderId="13" xfId="0" applyBorder="1"/>
    <xf numFmtId="0" fontId="0" fillId="0" borderId="14" xfId="0" applyBorder="1"/>
    <xf numFmtId="0" fontId="0" fillId="0" borderId="18" xfId="0" applyBorder="1"/>
    <xf numFmtId="0" fontId="0" fillId="0" borderId="21" xfId="0" applyBorder="1"/>
    <xf numFmtId="0" fontId="0" fillId="0" borderId="23" xfId="0" applyBorder="1"/>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0" borderId="22"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1" xfId="0" applyBorder="1" applyAlignment="1">
      <alignment horizontal="center"/>
    </xf>
    <xf numFmtId="0" fontId="0" fillId="0" borderId="23" xfId="0" applyBorder="1" applyAlignment="1">
      <alignment horizontal="center"/>
    </xf>
    <xf numFmtId="0" fontId="0" fillId="33" borderId="15" xfId="0" applyFill="1" applyBorder="1"/>
    <xf numFmtId="0" fontId="0" fillId="33" borderId="16" xfId="0" applyFill="1" applyBorder="1" applyAlignment="1">
      <alignment horizontal="center"/>
    </xf>
    <xf numFmtId="0" fontId="0" fillId="33" borderId="17" xfId="0" applyFill="1" applyBorder="1"/>
    <xf numFmtId="0" fontId="0" fillId="33" borderId="11" xfId="0" applyFill="1" applyBorder="1"/>
    <xf numFmtId="0" fontId="0" fillId="34" borderId="15" xfId="0" applyFill="1" applyBorder="1"/>
    <xf numFmtId="0" fontId="0" fillId="34" borderId="16" xfId="0" applyFill="1" applyBorder="1"/>
    <xf numFmtId="0" fontId="0" fillId="34" borderId="16" xfId="0" applyFill="1" applyBorder="1" applyAlignment="1">
      <alignment horizontal="center"/>
    </xf>
    <xf numFmtId="0" fontId="0" fillId="34" borderId="17" xfId="0" applyFill="1" applyBorder="1" applyAlignment="1">
      <alignment horizontal="center"/>
    </xf>
    <xf numFmtId="0" fontId="0" fillId="34" borderId="15" xfId="0" applyFill="1" applyBorder="1" applyAlignment="1">
      <alignment horizontal="center"/>
    </xf>
    <xf numFmtId="0" fontId="0" fillId="35" borderId="15" xfId="0" applyFill="1" applyBorder="1"/>
    <xf numFmtId="0" fontId="0" fillId="35" borderId="16" xfId="0" applyFill="1" applyBorder="1"/>
    <xf numFmtId="0" fontId="0" fillId="35" borderId="16" xfId="0" applyFill="1" applyBorder="1" applyAlignment="1">
      <alignment horizontal="center"/>
    </xf>
    <xf numFmtId="0" fontId="0" fillId="35" borderId="17" xfId="0" applyFill="1" applyBorder="1" applyAlignment="1">
      <alignment horizontal="center"/>
    </xf>
    <xf numFmtId="0" fontId="0" fillId="35" borderId="15" xfId="0" applyFill="1" applyBorder="1" applyAlignment="1">
      <alignment horizontal="center"/>
    </xf>
    <xf numFmtId="0" fontId="0" fillId="36" borderId="13" xfId="0" applyFill="1" applyBorder="1"/>
    <xf numFmtId="0" fontId="0" fillId="36" borderId="18" xfId="0" applyFill="1" applyBorder="1"/>
    <xf numFmtId="0" fontId="0" fillId="36" borderId="21" xfId="0" applyFill="1" applyBorder="1"/>
    <xf numFmtId="0" fontId="0" fillId="36" borderId="14" xfId="0" applyFill="1" applyBorder="1"/>
    <xf numFmtId="0" fontId="0" fillId="36" borderId="23" xfId="0" applyFill="1" applyBorder="1"/>
    <xf numFmtId="0" fontId="0" fillId="37" borderId="15" xfId="0" applyFill="1" applyBorder="1"/>
    <xf numFmtId="0" fontId="0" fillId="37" borderId="16" xfId="0" applyFill="1" applyBorder="1"/>
    <xf numFmtId="0" fontId="0" fillId="37" borderId="16" xfId="0" applyFill="1" applyBorder="1" applyAlignment="1">
      <alignment horizontal="center"/>
    </xf>
    <xf numFmtId="0" fontId="0" fillId="37" borderId="17" xfId="0" applyFill="1" applyBorder="1" applyAlignment="1">
      <alignment horizontal="center"/>
    </xf>
    <xf numFmtId="0" fontId="0" fillId="37" borderId="15" xfId="0" applyFill="1" applyBorder="1" applyAlignment="1">
      <alignment horizontal="center"/>
    </xf>
    <xf numFmtId="0" fontId="0" fillId="38" borderId="15" xfId="0" applyFill="1" applyBorder="1"/>
    <xf numFmtId="0" fontId="0" fillId="38" borderId="16" xfId="0" applyFill="1" applyBorder="1"/>
    <xf numFmtId="0" fontId="0" fillId="38" borderId="16" xfId="0" applyFill="1" applyBorder="1" applyAlignment="1">
      <alignment horizontal="center"/>
    </xf>
    <xf numFmtId="0" fontId="0" fillId="38" borderId="17" xfId="0" applyFill="1" applyBorder="1" applyAlignment="1">
      <alignment horizontal="center"/>
    </xf>
    <xf numFmtId="0" fontId="0" fillId="38" borderId="15" xfId="0" applyFill="1" applyBorder="1" applyAlignment="1">
      <alignment horizontal="center"/>
    </xf>
    <xf numFmtId="0" fontId="19" fillId="0" borderId="0" xfId="0" applyFont="1"/>
    <xf numFmtId="0" fontId="19" fillId="0" borderId="27" xfId="0" applyFont="1" applyBorder="1" applyAlignment="1">
      <alignment horizontal="center"/>
    </xf>
    <xf numFmtId="0" fontId="0" fillId="0" borderId="19" xfId="0" applyBorder="1"/>
    <xf numFmtId="0" fontId="0" fillId="0" borderId="20" xfId="0" applyBorder="1"/>
    <xf numFmtId="0" fontId="0" fillId="0" borderId="22" xfId="0" applyBorder="1"/>
    <xf numFmtId="0" fontId="0" fillId="0" borderId="24" xfId="0" applyBorder="1"/>
    <xf numFmtId="0" fontId="0" fillId="0" borderId="25" xfId="0" applyBorder="1"/>
    <xf numFmtId="0" fontId="0" fillId="40" borderId="0" xfId="0" applyFill="1"/>
    <xf numFmtId="9" fontId="19" fillId="40" borderId="26" xfId="42" applyFont="1" applyFill="1" applyBorder="1" applyAlignment="1">
      <alignment horizontal="center"/>
    </xf>
    <xf numFmtId="2" fontId="0" fillId="39" borderId="26" xfId="0" applyNumberFormat="1" applyFill="1" applyBorder="1" applyAlignment="1">
      <alignment horizontal="center"/>
    </xf>
    <xf numFmtId="2" fontId="0" fillId="37" borderId="26" xfId="0" applyNumberFormat="1" applyFill="1" applyBorder="1" applyAlignment="1">
      <alignment horizontal="center"/>
    </xf>
    <xf numFmtId="0" fontId="0" fillId="37" borderId="26" xfId="0" applyFill="1" applyBorder="1" applyAlignment="1">
      <alignment horizontal="center"/>
    </xf>
    <xf numFmtId="164" fontId="19" fillId="40" borderId="28" xfId="0" applyNumberFormat="1" applyFont="1" applyFill="1" applyBorder="1" applyAlignment="1">
      <alignment horizontal="center"/>
    </xf>
    <xf numFmtId="0" fontId="0" fillId="38" borderId="26" xfId="0" applyFill="1" applyBorder="1" applyAlignment="1">
      <alignment horizontal="center"/>
    </xf>
    <xf numFmtId="0" fontId="0" fillId="41" borderId="26" xfId="0" applyFill="1" applyBorder="1" applyAlignment="1">
      <alignment horizontal="center"/>
    </xf>
    <xf numFmtId="2" fontId="0" fillId="0" borderId="28" xfId="0" applyNumberFormat="1" applyBorder="1" applyAlignment="1">
      <alignment horizontal="center"/>
    </xf>
    <xf numFmtId="0" fontId="19" fillId="37" borderId="29" xfId="0" applyFont="1" applyFill="1" applyBorder="1"/>
    <xf numFmtId="0" fontId="0" fillId="37" borderId="31" xfId="0" applyFill="1" applyBorder="1"/>
    <xf numFmtId="0" fontId="19" fillId="37" borderId="32" xfId="0" applyFont="1" applyFill="1" applyBorder="1"/>
    <xf numFmtId="0" fontId="0" fillId="37" borderId="33" xfId="0" applyFill="1" applyBorder="1"/>
    <xf numFmtId="0" fontId="0" fillId="38" borderId="33" xfId="0" applyFill="1" applyBorder="1"/>
    <xf numFmtId="0" fontId="0" fillId="41" borderId="33" xfId="0" applyFill="1" applyBorder="1"/>
    <xf numFmtId="0" fontId="0" fillId="41" borderId="36" xfId="0" applyFill="1" applyBorder="1"/>
    <xf numFmtId="0" fontId="19" fillId="38" borderId="32" xfId="0" applyFont="1" applyFill="1" applyBorder="1"/>
    <xf numFmtId="0" fontId="19" fillId="41" borderId="32" xfId="0" applyFont="1" applyFill="1" applyBorder="1"/>
    <xf numFmtId="0" fontId="19" fillId="41" borderId="34" xfId="0" applyFont="1" applyFill="1" applyBorder="1"/>
    <xf numFmtId="0" fontId="19" fillId="41" borderId="29" xfId="0" applyFont="1" applyFill="1" applyBorder="1"/>
    <xf numFmtId="0" fontId="19" fillId="38" borderId="29" xfId="0" applyFont="1" applyFill="1" applyBorder="1"/>
    <xf numFmtId="0" fontId="17" fillId="0" borderId="0" xfId="0" applyFont="1"/>
    <xf numFmtId="0" fontId="0" fillId="37" borderId="0" xfId="0" applyFill="1"/>
    <xf numFmtId="0" fontId="0" fillId="38" borderId="0" xfId="0" applyFill="1"/>
    <xf numFmtId="0" fontId="0" fillId="41" borderId="0" xfId="0" applyFill="1"/>
    <xf numFmtId="0" fontId="0" fillId="37" borderId="30" xfId="0" applyFill="1" applyBorder="1"/>
    <xf numFmtId="0" fontId="0" fillId="41" borderId="35" xfId="0" applyFill="1" applyBorder="1"/>
    <xf numFmtId="2" fontId="0" fillId="38" borderId="26" xfId="0" applyNumberFormat="1" applyFill="1" applyBorder="1" applyAlignment="1">
      <alignment horizontal="center"/>
    </xf>
    <xf numFmtId="2" fontId="0" fillId="41" borderId="26" xfId="0" applyNumberFormat="1" applyFill="1" applyBorder="1" applyAlignment="1">
      <alignment horizontal="center"/>
    </xf>
    <xf numFmtId="0" fontId="19" fillId="41" borderId="37" xfId="0" applyFont="1" applyFill="1" applyBorder="1"/>
    <xf numFmtId="0" fontId="0" fillId="42" borderId="0" xfId="0" applyFill="1"/>
    <xf numFmtId="0" fontId="0" fillId="43" borderId="0" xfId="0" applyFill="1"/>
    <xf numFmtId="0" fontId="20" fillId="0" borderId="0" xfId="0" applyFont="1" applyAlignment="1">
      <alignment horizontal="left" vertical="center"/>
    </xf>
    <xf numFmtId="0" fontId="21" fillId="0" borderId="0" xfId="0" applyFont="1"/>
    <xf numFmtId="0" fontId="15" fillId="0" borderId="0" xfId="0" applyFont="1"/>
    <xf numFmtId="0" fontId="23" fillId="44" borderId="0" xfId="0" applyFont="1" applyFill="1" applyAlignment="1">
      <alignment horizontal="center" vertical="center"/>
    </xf>
    <xf numFmtId="0" fontId="24" fillId="46" borderId="38" xfId="0" applyFont="1" applyFill="1" applyBorder="1" applyAlignment="1">
      <alignment horizontal="center" vertical="center" wrapText="1"/>
    </xf>
    <xf numFmtId="0" fontId="24" fillId="46" borderId="39" xfId="0" applyFont="1" applyFill="1" applyBorder="1" applyAlignment="1">
      <alignment horizontal="center" vertical="center" wrapText="1"/>
    </xf>
    <xf numFmtId="0" fontId="24" fillId="46" borderId="40" xfId="0" applyFont="1" applyFill="1" applyBorder="1" applyAlignment="1">
      <alignment horizontal="center" vertical="center" wrapText="1"/>
    </xf>
    <xf numFmtId="0" fontId="22" fillId="0" borderId="0" xfId="0" applyFont="1"/>
    <xf numFmtId="0" fontId="24" fillId="44" borderId="0" xfId="0" applyFont="1" applyFill="1" applyAlignment="1">
      <alignment horizontal="center"/>
    </xf>
    <xf numFmtId="0" fontId="22" fillId="47" borderId="0" xfId="0" applyFont="1" applyFill="1" applyAlignment="1">
      <alignment vertical="top" wrapText="1"/>
    </xf>
    <xf numFmtId="0" fontId="22" fillId="0" borderId="41" xfId="0" applyFont="1" applyBorder="1" applyAlignment="1">
      <alignment horizontal="center"/>
    </xf>
    <xf numFmtId="0" fontId="22" fillId="0" borderId="44" xfId="0" applyFont="1" applyBorder="1" applyAlignment="1">
      <alignment horizontal="center"/>
    </xf>
    <xf numFmtId="0" fontId="22" fillId="0" borderId="42" xfId="0" applyFont="1" applyBorder="1" applyAlignment="1">
      <alignment horizontal="center"/>
    </xf>
    <xf numFmtId="165" fontId="22" fillId="0" borderId="42" xfId="0" applyNumberFormat="1" applyFont="1" applyBorder="1" applyAlignment="1">
      <alignment horizontal="center"/>
    </xf>
    <xf numFmtId="0" fontId="22" fillId="0" borderId="43" xfId="0" applyFont="1" applyBorder="1" applyAlignment="1">
      <alignment horizontal="center"/>
    </xf>
    <xf numFmtId="0" fontId="22" fillId="0" borderId="45" xfId="0" applyFont="1" applyBorder="1" applyAlignment="1">
      <alignment horizontal="center"/>
    </xf>
    <xf numFmtId="165" fontId="22" fillId="0" borderId="45" xfId="0" applyNumberFormat="1" applyFont="1" applyBorder="1" applyAlignment="1">
      <alignment horizontal="center"/>
    </xf>
    <xf numFmtId="0" fontId="22" fillId="0" borderId="46" xfId="0" applyFont="1" applyBorder="1" applyAlignment="1">
      <alignment horizontal="center"/>
    </xf>
    <xf numFmtId="9" fontId="22" fillId="0" borderId="46" xfId="0" applyNumberFormat="1" applyFont="1" applyBorder="1" applyAlignment="1">
      <alignment horizontal="center"/>
    </xf>
    <xf numFmtId="0" fontId="25" fillId="45" borderId="41" xfId="0" applyFont="1" applyFill="1" applyBorder="1" applyAlignment="1">
      <alignment horizontal="center"/>
    </xf>
    <xf numFmtId="0" fontId="25" fillId="45" borderId="44" xfId="0" applyFont="1" applyFill="1" applyBorder="1" applyAlignment="1">
      <alignment horizontal="center"/>
    </xf>
    <xf numFmtId="0" fontId="25" fillId="45" borderId="41" xfId="0" applyFont="1" applyFill="1" applyBorder="1" applyAlignment="1">
      <alignment horizontal="center" wrapText="1"/>
    </xf>
    <xf numFmtId="0" fontId="25" fillId="45" borderId="44" xfId="0" applyFont="1" applyFill="1" applyBorder="1" applyAlignment="1">
      <alignment horizontal="center" wrapText="1"/>
    </xf>
    <xf numFmtId="0" fontId="25" fillId="45" borderId="41" xfId="0" applyFont="1" applyFill="1" applyBorder="1" applyAlignment="1">
      <alignment horizontal="center" vertical="center" wrapText="1"/>
    </xf>
  </cellXfs>
  <cellStyles count="43">
    <cellStyle name="20% - Énfasis1" xfId="19" xr:uid="{00000000-0005-0000-0000-000000000000}"/>
    <cellStyle name="20% - Énfasis2" xfId="23" xr:uid="{00000000-0005-0000-0000-000001000000}"/>
    <cellStyle name="20% - Énfasis3" xfId="27" xr:uid="{00000000-0005-0000-0000-000002000000}"/>
    <cellStyle name="20% - Énfasis4" xfId="31" xr:uid="{00000000-0005-0000-0000-000003000000}"/>
    <cellStyle name="20% - Énfasis5" xfId="35" xr:uid="{00000000-0005-0000-0000-000004000000}"/>
    <cellStyle name="20% - Énfasis6" xfId="39" xr:uid="{00000000-0005-0000-0000-000005000000}"/>
    <cellStyle name="40% - Énfasis1" xfId="20" xr:uid="{00000000-0005-0000-0000-000006000000}"/>
    <cellStyle name="40% - Énfasis2" xfId="24" xr:uid="{00000000-0005-0000-0000-000007000000}"/>
    <cellStyle name="40% - Énfasis3" xfId="28" xr:uid="{00000000-0005-0000-0000-000008000000}"/>
    <cellStyle name="40% - Énfasis4" xfId="32" xr:uid="{00000000-0005-0000-0000-000009000000}"/>
    <cellStyle name="40% - Énfasis5" xfId="36" xr:uid="{00000000-0005-0000-0000-00000A000000}"/>
    <cellStyle name="40% - Énfasis6" xfId="40" xr:uid="{00000000-0005-0000-0000-00000B000000}"/>
    <cellStyle name="60% - Énfasis1" xfId="21" xr:uid="{00000000-0005-0000-0000-00000C000000}"/>
    <cellStyle name="60% - Énfasis2" xfId="25" xr:uid="{00000000-0005-0000-0000-00000D000000}"/>
    <cellStyle name="60% - Énfasis3" xfId="29" xr:uid="{00000000-0005-0000-0000-00000E000000}"/>
    <cellStyle name="60% - Énfasis4" xfId="33" xr:uid="{00000000-0005-0000-0000-00000F000000}"/>
    <cellStyle name="60% - Énfasis5" xfId="37" xr:uid="{00000000-0005-0000-0000-000010000000}"/>
    <cellStyle name="60% - Énfasis6" xfId="41" xr:uid="{00000000-0005-0000-0000-000011000000}"/>
    <cellStyle name="Bueno" xfId="6" xr:uid="{00000000-0005-0000-0000-000012000000}"/>
    <cellStyle name="Cálculo" xfId="11" xr:uid="{00000000-0005-0000-0000-000013000000}"/>
    <cellStyle name="Celda de comprobación" xfId="13" xr:uid="{00000000-0005-0000-0000-000014000000}"/>
    <cellStyle name="Celda vinculada" xfId="12" xr:uid="{00000000-0005-0000-0000-000015000000}"/>
    <cellStyle name="Encabezado 1" xfId="2" xr:uid="{00000000-0005-0000-0000-000016000000}"/>
    <cellStyle name="Encabezado 4" xfId="5" xr:uid="{00000000-0005-0000-0000-000017000000}"/>
    <cellStyle name="Énfasis1" xfId="18" xr:uid="{00000000-0005-0000-0000-000018000000}"/>
    <cellStyle name="Énfasis2" xfId="22" xr:uid="{00000000-0005-0000-0000-000019000000}"/>
    <cellStyle name="Énfasis3" xfId="26" xr:uid="{00000000-0005-0000-0000-00001A000000}"/>
    <cellStyle name="Énfasis4" xfId="30" xr:uid="{00000000-0005-0000-0000-00001B000000}"/>
    <cellStyle name="Énfasis5" xfId="34" xr:uid="{00000000-0005-0000-0000-00001C000000}"/>
    <cellStyle name="Énfasis6" xfId="38" xr:uid="{00000000-0005-0000-0000-00001D000000}"/>
    <cellStyle name="Entrada" xfId="9" xr:uid="{00000000-0005-0000-0000-00001E000000}"/>
    <cellStyle name="Incorrecto" xfId="7" xr:uid="{00000000-0005-0000-0000-00001F000000}"/>
    <cellStyle name="Neutral" xfId="8" xr:uid="{00000000-0005-0000-0000-000020000000}"/>
    <cellStyle name="Normal" xfId="0" builtinId="0"/>
    <cellStyle name="Notas" xfId="15" xr:uid="{00000000-0005-0000-0000-000022000000}"/>
    <cellStyle name="Porcentaje" xfId="42" xr:uid="{00000000-0005-0000-0000-000023000000}"/>
    <cellStyle name="Salida" xfId="10" xr:uid="{00000000-0005-0000-0000-000024000000}"/>
    <cellStyle name="Texto de advertencia" xfId="14" xr:uid="{00000000-0005-0000-0000-000025000000}"/>
    <cellStyle name="Texto explicativo" xfId="16" xr:uid="{00000000-0005-0000-0000-000026000000}"/>
    <cellStyle name="Título" xfId="1" xr:uid="{00000000-0005-0000-0000-000027000000}"/>
    <cellStyle name="Título 2" xfId="3" xr:uid="{00000000-0005-0000-0000-000028000000}"/>
    <cellStyle name="Título 3" xfId="4" xr:uid="{00000000-0005-0000-0000-000029000000}"/>
    <cellStyle name="Total" xfId="17" xr:uid="{00000000-0005-0000-0000-00002A000000}"/>
  </cellStyles>
  <dxfs count="8">
    <dxf>
      <fill>
        <patternFill patternType="solid">
          <bgColor rgb="FFE2F0D9"/>
        </patternFill>
      </fill>
    </dxf>
    <dxf>
      <font>
        <color rgb="FF9C0006"/>
      </font>
      <fill>
        <patternFill patternType="solid">
          <bgColor rgb="FFFCE4D6"/>
        </patternFill>
      </fill>
    </dxf>
    <dxf>
      <font>
        <u val="none"/>
        <sz val="11"/>
        <color theme="1"/>
        <name val="Calibri"/>
        <family val="2"/>
        <scheme val="minor"/>
      </font>
      <fill>
        <patternFill patternType="solid">
          <bgColor indexed="65"/>
        </patternFill>
      </fill>
    </dxf>
    <dxf>
      <font>
        <u val="none"/>
        <sz val="11"/>
        <color theme="1"/>
        <name val="Calibri"/>
        <family val="2"/>
        <scheme val="minor"/>
      </font>
      <fill>
        <patternFill patternType="solid">
          <bgColor indexed="65"/>
        </patternFill>
      </fill>
    </dxf>
    <dxf>
      <font>
        <u val="none"/>
        <sz val="11"/>
        <color theme="1"/>
        <name val="Calibri"/>
        <family val="2"/>
        <scheme val="minor"/>
      </font>
      <fill>
        <patternFill patternType="solid">
          <bgColor indexed="65"/>
        </patternFill>
      </fill>
    </dxf>
    <dxf>
      <font>
        <u val="none"/>
        <sz val="11"/>
        <color theme="1"/>
        <name val="Calibri"/>
        <family val="2"/>
        <scheme val="minor"/>
      </font>
      <fill>
        <patternFill patternType="solid">
          <bgColor indexed="65"/>
        </patternFill>
      </fill>
    </dxf>
    <dxf>
      <font>
        <u val="none"/>
        <sz val="11"/>
        <color theme="1"/>
        <name val="Calibri"/>
        <family val="2"/>
        <scheme val="minor"/>
      </font>
      <fill>
        <patternFill patternType="solid">
          <bgColor indexed="65"/>
        </patternFill>
      </fill>
    </dxf>
    <dxf>
      <font>
        <u val="none"/>
        <sz val="11"/>
        <color theme="1"/>
        <name val="Calibri"/>
        <family val="2"/>
        <scheme val="minor"/>
      </font>
      <fill>
        <patternFill patternType="solid">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292100</xdr:colOff>
      <xdr:row>157</xdr:row>
      <xdr:rowOff>25400</xdr:rowOff>
    </xdr:from>
    <xdr:to>
      <xdr:col>28</xdr:col>
      <xdr:colOff>844550</xdr:colOff>
      <xdr:row>158</xdr:row>
      <xdr:rowOff>146050</xdr:rowOff>
    </xdr:to>
    <xdr:pic>
      <xdr:nvPicPr>
        <xdr:cNvPr id="2" name="/xl/media/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27</xdr:col>
      <xdr:colOff>292100</xdr:colOff>
      <xdr:row>243</xdr:row>
      <xdr:rowOff>25400</xdr:rowOff>
    </xdr:from>
    <xdr:to>
      <xdr:col>28</xdr:col>
      <xdr:colOff>844550</xdr:colOff>
      <xdr:row>244</xdr:row>
      <xdr:rowOff>146050</xdr:rowOff>
    </xdr:to>
    <xdr:pic>
      <xdr:nvPicPr>
        <xdr:cNvPr id="3" name="/xl/media/image1.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27</xdr:col>
      <xdr:colOff>292100</xdr:colOff>
      <xdr:row>329</xdr:row>
      <xdr:rowOff>25400</xdr:rowOff>
    </xdr:from>
    <xdr:to>
      <xdr:col>28</xdr:col>
      <xdr:colOff>844550</xdr:colOff>
      <xdr:row>330</xdr:row>
      <xdr:rowOff>146050</xdr:rowOff>
    </xdr:to>
    <xdr:pic>
      <xdr:nvPicPr>
        <xdr:cNvPr id="4" name="/xl/media/image1.pn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E151" totalsRowShown="0">
  <autoFilter ref="A1:E151" xr:uid="{00000000-0009-0000-0100-000001000000}"/>
  <sortState xmlns:xlrd2="http://schemas.microsoft.com/office/spreadsheetml/2017/richdata2" ref="A2:E151">
    <sortCondition ref="A1:A151"/>
  </sortState>
  <tableColumns count="5">
    <tableColumn id="1" xr3:uid="{00000000-0010-0000-0000-000001000000}" name="sepall"/>
    <tableColumn id="2" xr3:uid="{00000000-0010-0000-0000-000002000000}" name="sepalw"/>
    <tableColumn id="3" xr3:uid="{00000000-0010-0000-0000-000003000000}" name="petall"/>
    <tableColumn id="4" xr3:uid="{00000000-0010-0000-0000-000004000000}" name="petalw"/>
    <tableColumn id="5" xr3:uid="{00000000-0010-0000-0000-000005000000}" name="clas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a3" displayName="Tabla3" ref="B1:F151" totalsRowShown="0" dataDxfId="7">
  <autoFilter ref="B1:F151" xr:uid="{00000000-0009-0000-0100-000003000000}"/>
  <sortState xmlns:xlrd2="http://schemas.microsoft.com/office/spreadsheetml/2017/richdata2" ref="B2:F151">
    <sortCondition ref="B1:B151"/>
  </sortState>
  <tableColumns count="5">
    <tableColumn id="1" xr3:uid="{00000000-0010-0000-0100-000001000000}" name="sepall" dataDxfId="6"/>
    <tableColumn id="2" xr3:uid="{00000000-0010-0000-0100-000002000000}" name="sepalw" dataDxfId="5"/>
    <tableColumn id="3" xr3:uid="{00000000-0010-0000-0100-000003000000}" name="petall" dataDxfId="4"/>
    <tableColumn id="4" xr3:uid="{00000000-0010-0000-0100-000004000000}" name="petalw" dataDxfId="3"/>
    <tableColumn id="5" xr3:uid="{00000000-0010-0000-0100-000005000000}" name="clase" dataDxfId="2"/>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1"/>
  <sheetViews>
    <sheetView topLeftCell="A58" workbookViewId="0"/>
  </sheetViews>
  <sheetFormatPr baseColWidth="10" defaultRowHeight="15" x14ac:dyDescent="0.25"/>
  <cols>
    <col min="1" max="1" width="20.140625" customWidth="1"/>
    <col min="2" max="2" width="17.42578125" customWidth="1"/>
    <col min="3" max="3" width="19.5703125" customWidth="1"/>
    <col min="4" max="4" width="16.5703125" customWidth="1"/>
    <col min="5" max="5" width="18" customWidth="1"/>
  </cols>
  <sheetData>
    <row r="1" spans="1:5" x14ac:dyDescent="0.25">
      <c r="A1" t="s">
        <v>0</v>
      </c>
      <c r="B1" t="s">
        <v>1</v>
      </c>
      <c r="C1" t="s">
        <v>2</v>
      </c>
      <c r="D1" t="s">
        <v>3</v>
      </c>
      <c r="E1" t="s">
        <v>4</v>
      </c>
    </row>
    <row r="2" spans="1:5" x14ac:dyDescent="0.25">
      <c r="A2">
        <v>4.3</v>
      </c>
      <c r="B2">
        <v>3</v>
      </c>
      <c r="C2">
        <v>1.1000000000000001</v>
      </c>
      <c r="D2">
        <v>0.1</v>
      </c>
      <c r="E2" t="s">
        <v>5</v>
      </c>
    </row>
    <row r="3" spans="1:5" x14ac:dyDescent="0.25">
      <c r="A3">
        <v>4.4000000000000004</v>
      </c>
      <c r="B3">
        <v>2.9</v>
      </c>
      <c r="C3">
        <v>1.4</v>
      </c>
      <c r="D3">
        <v>0.2</v>
      </c>
      <c r="E3" t="s">
        <v>5</v>
      </c>
    </row>
    <row r="4" spans="1:5" x14ac:dyDescent="0.25">
      <c r="A4">
        <v>4.4000000000000004</v>
      </c>
      <c r="B4">
        <v>3</v>
      </c>
      <c r="C4">
        <v>1.3</v>
      </c>
      <c r="D4">
        <v>0.2</v>
      </c>
      <c r="E4" t="s">
        <v>5</v>
      </c>
    </row>
    <row r="5" spans="1:5" x14ac:dyDescent="0.25">
      <c r="A5">
        <v>4.4000000000000004</v>
      </c>
      <c r="B5">
        <v>3.2</v>
      </c>
      <c r="C5">
        <v>1.3</v>
      </c>
      <c r="D5">
        <v>0.2</v>
      </c>
      <c r="E5" t="s">
        <v>5</v>
      </c>
    </row>
    <row r="6" spans="1:5" x14ac:dyDescent="0.25">
      <c r="A6">
        <v>4.5</v>
      </c>
      <c r="B6">
        <v>2.2999999999999998</v>
      </c>
      <c r="C6">
        <v>1.3</v>
      </c>
      <c r="D6">
        <v>0.3</v>
      </c>
      <c r="E6" t="s">
        <v>5</v>
      </c>
    </row>
    <row r="7" spans="1:5" x14ac:dyDescent="0.25">
      <c r="A7">
        <v>4.5999999999999996</v>
      </c>
      <c r="B7">
        <v>3.1</v>
      </c>
      <c r="C7">
        <v>1.5</v>
      </c>
      <c r="D7">
        <v>0.2</v>
      </c>
      <c r="E7" t="s">
        <v>5</v>
      </c>
    </row>
    <row r="8" spans="1:5" x14ac:dyDescent="0.25">
      <c r="A8">
        <v>4.5999999999999996</v>
      </c>
      <c r="B8">
        <v>3.4</v>
      </c>
      <c r="C8">
        <v>1.4</v>
      </c>
      <c r="D8">
        <v>0.3</v>
      </c>
      <c r="E8" t="s">
        <v>5</v>
      </c>
    </row>
    <row r="9" spans="1:5" x14ac:dyDescent="0.25">
      <c r="A9">
        <v>4.5999999999999996</v>
      </c>
      <c r="B9">
        <v>3.6</v>
      </c>
      <c r="C9">
        <v>1</v>
      </c>
      <c r="D9">
        <v>0.2</v>
      </c>
      <c r="E9" t="s">
        <v>5</v>
      </c>
    </row>
    <row r="10" spans="1:5" x14ac:dyDescent="0.25">
      <c r="A10">
        <v>4.5999999999999996</v>
      </c>
      <c r="B10">
        <v>3.2</v>
      </c>
      <c r="C10">
        <v>1.4</v>
      </c>
      <c r="D10">
        <v>0.2</v>
      </c>
      <c r="E10" t="s">
        <v>5</v>
      </c>
    </row>
    <row r="11" spans="1:5" x14ac:dyDescent="0.25">
      <c r="A11">
        <v>4.7</v>
      </c>
      <c r="B11">
        <v>3.2</v>
      </c>
      <c r="C11">
        <v>1.3</v>
      </c>
      <c r="D11">
        <v>0.2</v>
      </c>
      <c r="E11" t="s">
        <v>5</v>
      </c>
    </row>
    <row r="12" spans="1:5" x14ac:dyDescent="0.25">
      <c r="A12">
        <v>4.7</v>
      </c>
      <c r="B12">
        <v>3.2</v>
      </c>
      <c r="C12">
        <v>1.6</v>
      </c>
      <c r="D12">
        <v>0.2</v>
      </c>
      <c r="E12" t="s">
        <v>5</v>
      </c>
    </row>
    <row r="13" spans="1:5" x14ac:dyDescent="0.25">
      <c r="A13">
        <v>4.8</v>
      </c>
      <c r="B13">
        <v>3.4</v>
      </c>
      <c r="C13">
        <v>1.6</v>
      </c>
      <c r="D13">
        <v>0.2</v>
      </c>
      <c r="E13" t="s">
        <v>5</v>
      </c>
    </row>
    <row r="14" spans="1:5" x14ac:dyDescent="0.25">
      <c r="A14">
        <v>4.8</v>
      </c>
      <c r="B14">
        <v>3</v>
      </c>
      <c r="C14">
        <v>1.4</v>
      </c>
      <c r="D14">
        <v>0.1</v>
      </c>
      <c r="E14" t="s">
        <v>5</v>
      </c>
    </row>
    <row r="15" spans="1:5" x14ac:dyDescent="0.25">
      <c r="A15">
        <v>4.8</v>
      </c>
      <c r="B15">
        <v>3.4</v>
      </c>
      <c r="C15">
        <v>1.9</v>
      </c>
      <c r="D15">
        <v>0.2</v>
      </c>
      <c r="E15" t="s">
        <v>5</v>
      </c>
    </row>
    <row r="16" spans="1:5" x14ac:dyDescent="0.25">
      <c r="A16">
        <v>4.8</v>
      </c>
      <c r="B16">
        <v>3.1</v>
      </c>
      <c r="C16">
        <v>1.6</v>
      </c>
      <c r="D16">
        <v>0.2</v>
      </c>
      <c r="E16" t="s">
        <v>5</v>
      </c>
    </row>
    <row r="17" spans="1:5" x14ac:dyDescent="0.25">
      <c r="A17">
        <v>4.8</v>
      </c>
      <c r="B17">
        <v>3</v>
      </c>
      <c r="C17">
        <v>1.4</v>
      </c>
      <c r="D17">
        <v>0.3</v>
      </c>
      <c r="E17" t="s">
        <v>5</v>
      </c>
    </row>
    <row r="18" spans="1:5" x14ac:dyDescent="0.25">
      <c r="A18">
        <v>4.9000000000000004</v>
      </c>
      <c r="B18">
        <v>3</v>
      </c>
      <c r="C18">
        <v>1.4</v>
      </c>
      <c r="D18">
        <v>0.2</v>
      </c>
      <c r="E18" t="s">
        <v>5</v>
      </c>
    </row>
    <row r="19" spans="1:5" x14ac:dyDescent="0.25">
      <c r="A19">
        <v>4.9000000000000004</v>
      </c>
      <c r="B19">
        <v>3.1</v>
      </c>
      <c r="C19">
        <v>1.5</v>
      </c>
      <c r="D19">
        <v>0.1</v>
      </c>
      <c r="E19" t="s">
        <v>5</v>
      </c>
    </row>
    <row r="20" spans="1:5" x14ac:dyDescent="0.25">
      <c r="A20">
        <v>4.9000000000000004</v>
      </c>
      <c r="B20">
        <v>3.1</v>
      </c>
      <c r="C20">
        <v>1.5</v>
      </c>
      <c r="D20">
        <v>0.1</v>
      </c>
      <c r="E20" t="s">
        <v>5</v>
      </c>
    </row>
    <row r="21" spans="1:5" x14ac:dyDescent="0.25">
      <c r="A21">
        <v>4.9000000000000004</v>
      </c>
      <c r="B21">
        <v>3.1</v>
      </c>
      <c r="C21">
        <v>1.5</v>
      </c>
      <c r="D21">
        <v>0.1</v>
      </c>
      <c r="E21" t="s">
        <v>5</v>
      </c>
    </row>
    <row r="22" spans="1:5" x14ac:dyDescent="0.25">
      <c r="A22">
        <v>4.9000000000000004</v>
      </c>
      <c r="B22">
        <v>2.4</v>
      </c>
      <c r="C22">
        <v>3.3</v>
      </c>
      <c r="D22">
        <v>1</v>
      </c>
      <c r="E22" t="s">
        <v>6</v>
      </c>
    </row>
    <row r="23" spans="1:5" x14ac:dyDescent="0.25">
      <c r="A23">
        <v>4.9000000000000004</v>
      </c>
      <c r="B23">
        <v>2.5</v>
      </c>
      <c r="C23">
        <v>4.5</v>
      </c>
      <c r="D23">
        <v>1.7</v>
      </c>
      <c r="E23" t="s">
        <v>7</v>
      </c>
    </row>
    <row r="24" spans="1:5" x14ac:dyDescent="0.25">
      <c r="A24">
        <v>5</v>
      </c>
      <c r="B24">
        <v>3.6</v>
      </c>
      <c r="C24">
        <v>1.4</v>
      </c>
      <c r="D24">
        <v>0.2</v>
      </c>
      <c r="E24" t="s">
        <v>5</v>
      </c>
    </row>
    <row r="25" spans="1:5" x14ac:dyDescent="0.25">
      <c r="A25">
        <v>5</v>
      </c>
      <c r="B25">
        <v>3.4</v>
      </c>
      <c r="C25">
        <v>1.5</v>
      </c>
      <c r="D25">
        <v>0.2</v>
      </c>
      <c r="E25" t="s">
        <v>5</v>
      </c>
    </row>
    <row r="26" spans="1:5" x14ac:dyDescent="0.25">
      <c r="A26">
        <v>5</v>
      </c>
      <c r="B26">
        <v>3</v>
      </c>
      <c r="C26">
        <v>1.6</v>
      </c>
      <c r="D26">
        <v>0.2</v>
      </c>
      <c r="E26" t="s">
        <v>5</v>
      </c>
    </row>
    <row r="27" spans="1:5" x14ac:dyDescent="0.25">
      <c r="A27">
        <v>5</v>
      </c>
      <c r="B27">
        <v>3.4</v>
      </c>
      <c r="C27">
        <v>1.6</v>
      </c>
      <c r="D27">
        <v>0.4</v>
      </c>
      <c r="E27" t="s">
        <v>5</v>
      </c>
    </row>
    <row r="28" spans="1:5" x14ac:dyDescent="0.25">
      <c r="A28">
        <v>5</v>
      </c>
      <c r="B28">
        <v>3.2</v>
      </c>
      <c r="C28">
        <v>1.2</v>
      </c>
      <c r="D28">
        <v>0.2</v>
      </c>
      <c r="E28" t="s">
        <v>5</v>
      </c>
    </row>
    <row r="29" spans="1:5" x14ac:dyDescent="0.25">
      <c r="A29">
        <v>5</v>
      </c>
      <c r="B29">
        <v>3.5</v>
      </c>
      <c r="C29">
        <v>1.3</v>
      </c>
      <c r="D29">
        <v>0.3</v>
      </c>
      <c r="E29" t="s">
        <v>5</v>
      </c>
    </row>
    <row r="30" spans="1:5" x14ac:dyDescent="0.25">
      <c r="A30">
        <v>5</v>
      </c>
      <c r="B30">
        <v>3.5</v>
      </c>
      <c r="C30">
        <v>1.6</v>
      </c>
      <c r="D30">
        <v>0.6</v>
      </c>
      <c r="E30" t="s">
        <v>5</v>
      </c>
    </row>
    <row r="31" spans="1:5" x14ac:dyDescent="0.25">
      <c r="A31">
        <v>5</v>
      </c>
      <c r="B31">
        <v>3.3</v>
      </c>
      <c r="C31">
        <v>1.4</v>
      </c>
      <c r="D31">
        <v>0.2</v>
      </c>
      <c r="E31" t="s">
        <v>5</v>
      </c>
    </row>
    <row r="32" spans="1:5" x14ac:dyDescent="0.25">
      <c r="A32">
        <v>5</v>
      </c>
      <c r="B32">
        <v>2</v>
      </c>
      <c r="C32">
        <v>3.5</v>
      </c>
      <c r="D32">
        <v>1</v>
      </c>
      <c r="E32" t="s">
        <v>6</v>
      </c>
    </row>
    <row r="33" spans="1:5" x14ac:dyDescent="0.25">
      <c r="A33">
        <v>5</v>
      </c>
      <c r="B33">
        <v>2.2999999999999998</v>
      </c>
      <c r="C33">
        <v>3.3</v>
      </c>
      <c r="D33">
        <v>1</v>
      </c>
      <c r="E33" t="s">
        <v>6</v>
      </c>
    </row>
    <row r="34" spans="1:5" x14ac:dyDescent="0.25">
      <c r="A34">
        <v>5.0999999999999996</v>
      </c>
      <c r="B34">
        <v>3.5</v>
      </c>
      <c r="C34">
        <v>1.4</v>
      </c>
      <c r="D34">
        <v>0.2</v>
      </c>
      <c r="E34" t="s">
        <v>5</v>
      </c>
    </row>
    <row r="35" spans="1:5" x14ac:dyDescent="0.25">
      <c r="A35">
        <v>5.0999999999999996</v>
      </c>
      <c r="B35">
        <v>3.5</v>
      </c>
      <c r="C35">
        <v>1.4</v>
      </c>
      <c r="D35">
        <v>0.3</v>
      </c>
      <c r="E35" t="s">
        <v>5</v>
      </c>
    </row>
    <row r="36" spans="1:5" x14ac:dyDescent="0.25">
      <c r="A36">
        <v>5.0999999999999996</v>
      </c>
      <c r="B36">
        <v>3.8</v>
      </c>
      <c r="C36">
        <v>1.5</v>
      </c>
      <c r="D36">
        <v>0.3</v>
      </c>
      <c r="E36" t="s">
        <v>5</v>
      </c>
    </row>
    <row r="37" spans="1:5" x14ac:dyDescent="0.25">
      <c r="A37">
        <v>5.0999999999999996</v>
      </c>
      <c r="B37">
        <v>3.7</v>
      </c>
      <c r="C37">
        <v>1.5</v>
      </c>
      <c r="D37">
        <v>0.4</v>
      </c>
      <c r="E37" t="s">
        <v>5</v>
      </c>
    </row>
    <row r="38" spans="1:5" x14ac:dyDescent="0.25">
      <c r="A38">
        <v>5.0999999999999996</v>
      </c>
      <c r="B38">
        <v>3.3</v>
      </c>
      <c r="C38">
        <v>1.7</v>
      </c>
      <c r="D38">
        <v>0.5</v>
      </c>
      <c r="E38" t="s">
        <v>5</v>
      </c>
    </row>
    <row r="39" spans="1:5" x14ac:dyDescent="0.25">
      <c r="A39">
        <v>5.0999999999999996</v>
      </c>
      <c r="B39">
        <v>3.4</v>
      </c>
      <c r="C39">
        <v>1.5</v>
      </c>
      <c r="D39">
        <v>0.2</v>
      </c>
      <c r="E39" t="s">
        <v>5</v>
      </c>
    </row>
    <row r="40" spans="1:5" x14ac:dyDescent="0.25">
      <c r="A40">
        <v>5.0999999999999996</v>
      </c>
      <c r="B40">
        <v>3.8</v>
      </c>
      <c r="C40">
        <v>1.9</v>
      </c>
      <c r="D40">
        <v>0.4</v>
      </c>
      <c r="E40" t="s">
        <v>5</v>
      </c>
    </row>
    <row r="41" spans="1:5" x14ac:dyDescent="0.25">
      <c r="A41">
        <v>5.0999999999999996</v>
      </c>
      <c r="B41">
        <v>3.8</v>
      </c>
      <c r="C41">
        <v>1.6</v>
      </c>
      <c r="D41">
        <v>0.2</v>
      </c>
      <c r="E41" t="s">
        <v>5</v>
      </c>
    </row>
    <row r="42" spans="1:5" x14ac:dyDescent="0.25">
      <c r="A42">
        <v>5.0999999999999996</v>
      </c>
      <c r="B42">
        <v>2.5</v>
      </c>
      <c r="C42">
        <v>3</v>
      </c>
      <c r="D42">
        <v>1.1000000000000001</v>
      </c>
      <c r="E42" t="s">
        <v>6</v>
      </c>
    </row>
    <row r="43" spans="1:5" x14ac:dyDescent="0.25">
      <c r="A43">
        <v>5.2</v>
      </c>
      <c r="B43">
        <v>3.5</v>
      </c>
      <c r="C43">
        <v>1.5</v>
      </c>
      <c r="D43">
        <v>0.2</v>
      </c>
      <c r="E43" t="s">
        <v>5</v>
      </c>
    </row>
    <row r="44" spans="1:5" x14ac:dyDescent="0.25">
      <c r="A44">
        <v>5.2</v>
      </c>
      <c r="B44">
        <v>3.4</v>
      </c>
      <c r="C44">
        <v>1.4</v>
      </c>
      <c r="D44">
        <v>0.2</v>
      </c>
      <c r="E44" t="s">
        <v>5</v>
      </c>
    </row>
    <row r="45" spans="1:5" x14ac:dyDescent="0.25">
      <c r="A45">
        <v>5.2</v>
      </c>
      <c r="B45">
        <v>4.0999999999999996</v>
      </c>
      <c r="C45">
        <v>1.5</v>
      </c>
      <c r="D45">
        <v>0.1</v>
      </c>
      <c r="E45" t="s">
        <v>5</v>
      </c>
    </row>
    <row r="46" spans="1:5" x14ac:dyDescent="0.25">
      <c r="A46">
        <v>5.2</v>
      </c>
      <c r="B46">
        <v>2.7</v>
      </c>
      <c r="C46">
        <v>3.9</v>
      </c>
      <c r="D46">
        <v>1.4</v>
      </c>
      <c r="E46" t="s">
        <v>6</v>
      </c>
    </row>
    <row r="47" spans="1:5" x14ac:dyDescent="0.25">
      <c r="A47">
        <v>5.3</v>
      </c>
      <c r="B47">
        <v>3.7</v>
      </c>
      <c r="C47">
        <v>1.5</v>
      </c>
      <c r="D47">
        <v>0.2</v>
      </c>
      <c r="E47" t="s">
        <v>5</v>
      </c>
    </row>
    <row r="48" spans="1:5" x14ac:dyDescent="0.25">
      <c r="A48">
        <v>5.4</v>
      </c>
      <c r="B48">
        <v>3.9</v>
      </c>
      <c r="C48">
        <v>1.7</v>
      </c>
      <c r="D48">
        <v>0.4</v>
      </c>
      <c r="E48" t="s">
        <v>5</v>
      </c>
    </row>
    <row r="49" spans="1:5" x14ac:dyDescent="0.25">
      <c r="A49">
        <v>5.4</v>
      </c>
      <c r="B49">
        <v>3.7</v>
      </c>
      <c r="C49">
        <v>1.5</v>
      </c>
      <c r="D49">
        <v>0.2</v>
      </c>
      <c r="E49" t="s">
        <v>5</v>
      </c>
    </row>
    <row r="50" spans="1:5" x14ac:dyDescent="0.25">
      <c r="A50">
        <v>5.4</v>
      </c>
      <c r="B50">
        <v>3.9</v>
      </c>
      <c r="C50">
        <v>1.3</v>
      </c>
      <c r="D50">
        <v>0.4</v>
      </c>
      <c r="E50" t="s">
        <v>5</v>
      </c>
    </row>
    <row r="51" spans="1:5" x14ac:dyDescent="0.25">
      <c r="A51">
        <v>5.4</v>
      </c>
      <c r="B51">
        <v>3.4</v>
      </c>
      <c r="C51">
        <v>1.7</v>
      </c>
      <c r="D51">
        <v>0.2</v>
      </c>
      <c r="E51" t="s">
        <v>5</v>
      </c>
    </row>
    <row r="52" spans="1:5" x14ac:dyDescent="0.25">
      <c r="A52">
        <v>5.4</v>
      </c>
      <c r="B52">
        <v>3.4</v>
      </c>
      <c r="C52">
        <v>1.5</v>
      </c>
      <c r="D52">
        <v>0.4</v>
      </c>
      <c r="E52" t="s">
        <v>5</v>
      </c>
    </row>
    <row r="53" spans="1:5" x14ac:dyDescent="0.25">
      <c r="A53">
        <v>5.4</v>
      </c>
      <c r="B53">
        <v>3</v>
      </c>
      <c r="C53">
        <v>4.5</v>
      </c>
      <c r="D53">
        <v>1.5</v>
      </c>
      <c r="E53" t="s">
        <v>6</v>
      </c>
    </row>
    <row r="54" spans="1:5" x14ac:dyDescent="0.25">
      <c r="A54">
        <v>5.5</v>
      </c>
      <c r="B54">
        <v>4.2</v>
      </c>
      <c r="C54">
        <v>1.4</v>
      </c>
      <c r="D54">
        <v>0.2</v>
      </c>
      <c r="E54" t="s">
        <v>5</v>
      </c>
    </row>
    <row r="55" spans="1:5" x14ac:dyDescent="0.25">
      <c r="A55">
        <v>5.5</v>
      </c>
      <c r="B55">
        <v>3.5</v>
      </c>
      <c r="C55">
        <v>1.3</v>
      </c>
      <c r="D55">
        <v>0.2</v>
      </c>
      <c r="E55" t="s">
        <v>5</v>
      </c>
    </row>
    <row r="56" spans="1:5" x14ac:dyDescent="0.25">
      <c r="A56">
        <v>5.5</v>
      </c>
      <c r="B56">
        <v>2.2999999999999998</v>
      </c>
      <c r="C56">
        <v>4</v>
      </c>
      <c r="D56">
        <v>1.3</v>
      </c>
      <c r="E56" t="s">
        <v>6</v>
      </c>
    </row>
    <row r="57" spans="1:5" x14ac:dyDescent="0.25">
      <c r="A57">
        <v>5.5</v>
      </c>
      <c r="B57">
        <v>2.4</v>
      </c>
      <c r="C57">
        <v>3.8</v>
      </c>
      <c r="D57">
        <v>1.1000000000000001</v>
      </c>
      <c r="E57" t="s">
        <v>6</v>
      </c>
    </row>
    <row r="58" spans="1:5" x14ac:dyDescent="0.25">
      <c r="A58">
        <v>5.5</v>
      </c>
      <c r="B58">
        <v>2.4</v>
      </c>
      <c r="C58">
        <v>3.7</v>
      </c>
      <c r="D58">
        <v>1</v>
      </c>
      <c r="E58" t="s">
        <v>6</v>
      </c>
    </row>
    <row r="59" spans="1:5" x14ac:dyDescent="0.25">
      <c r="A59">
        <v>5.5</v>
      </c>
      <c r="B59">
        <v>2.5</v>
      </c>
      <c r="C59">
        <v>4</v>
      </c>
      <c r="D59">
        <v>1.3</v>
      </c>
      <c r="E59" t="s">
        <v>6</v>
      </c>
    </row>
    <row r="60" spans="1:5" x14ac:dyDescent="0.25">
      <c r="A60">
        <v>5.5</v>
      </c>
      <c r="B60">
        <v>2.6</v>
      </c>
      <c r="C60">
        <v>4.4000000000000004</v>
      </c>
      <c r="D60">
        <v>1.2</v>
      </c>
      <c r="E60" t="s">
        <v>6</v>
      </c>
    </row>
    <row r="61" spans="1:5" x14ac:dyDescent="0.25">
      <c r="A61">
        <v>5.6</v>
      </c>
      <c r="B61">
        <v>2.9</v>
      </c>
      <c r="C61">
        <v>3.6</v>
      </c>
      <c r="D61">
        <v>1.3</v>
      </c>
      <c r="E61" t="s">
        <v>6</v>
      </c>
    </row>
    <row r="62" spans="1:5" x14ac:dyDescent="0.25">
      <c r="A62">
        <v>5.6</v>
      </c>
      <c r="B62">
        <v>3</v>
      </c>
      <c r="C62">
        <v>4.5</v>
      </c>
      <c r="D62">
        <v>1.5</v>
      </c>
      <c r="E62" t="s">
        <v>6</v>
      </c>
    </row>
    <row r="63" spans="1:5" x14ac:dyDescent="0.25">
      <c r="A63">
        <v>5.6</v>
      </c>
      <c r="B63">
        <v>2.5</v>
      </c>
      <c r="C63">
        <v>3.9</v>
      </c>
      <c r="D63">
        <v>1.1000000000000001</v>
      </c>
      <c r="E63" t="s">
        <v>6</v>
      </c>
    </row>
    <row r="64" spans="1:5" x14ac:dyDescent="0.25">
      <c r="A64">
        <v>5.6</v>
      </c>
      <c r="B64">
        <v>3</v>
      </c>
      <c r="C64">
        <v>4.0999999999999996</v>
      </c>
      <c r="D64">
        <v>1.3</v>
      </c>
      <c r="E64" t="s">
        <v>6</v>
      </c>
    </row>
    <row r="65" spans="1:5" x14ac:dyDescent="0.25">
      <c r="A65">
        <v>5.6</v>
      </c>
      <c r="B65">
        <v>2.7</v>
      </c>
      <c r="C65">
        <v>4.2</v>
      </c>
      <c r="D65">
        <v>1.3</v>
      </c>
      <c r="E65" t="s">
        <v>6</v>
      </c>
    </row>
    <row r="66" spans="1:5" x14ac:dyDescent="0.25">
      <c r="A66">
        <v>5.6</v>
      </c>
      <c r="B66">
        <v>2.8</v>
      </c>
      <c r="C66">
        <v>4.9000000000000004</v>
      </c>
      <c r="D66">
        <v>2</v>
      </c>
      <c r="E66" t="s">
        <v>7</v>
      </c>
    </row>
    <row r="67" spans="1:5" x14ac:dyDescent="0.25">
      <c r="A67">
        <v>5.7</v>
      </c>
      <c r="B67">
        <v>4.4000000000000004</v>
      </c>
      <c r="C67">
        <v>1.5</v>
      </c>
      <c r="D67">
        <v>0.4</v>
      </c>
      <c r="E67" t="s">
        <v>5</v>
      </c>
    </row>
    <row r="68" spans="1:5" x14ac:dyDescent="0.25">
      <c r="A68">
        <v>5.7</v>
      </c>
      <c r="B68">
        <v>3.8</v>
      </c>
      <c r="C68">
        <v>1.7</v>
      </c>
      <c r="D68">
        <v>0.3</v>
      </c>
      <c r="E68" t="s">
        <v>5</v>
      </c>
    </row>
    <row r="69" spans="1:5" x14ac:dyDescent="0.25">
      <c r="A69">
        <v>5.7</v>
      </c>
      <c r="B69">
        <v>2.8</v>
      </c>
      <c r="C69">
        <v>4.5</v>
      </c>
      <c r="D69">
        <v>1.3</v>
      </c>
      <c r="E69" t="s">
        <v>6</v>
      </c>
    </row>
    <row r="70" spans="1:5" x14ac:dyDescent="0.25">
      <c r="A70">
        <v>5.7</v>
      </c>
      <c r="B70">
        <v>2.6</v>
      </c>
      <c r="C70">
        <v>3.5</v>
      </c>
      <c r="D70">
        <v>1</v>
      </c>
      <c r="E70" t="s">
        <v>6</v>
      </c>
    </row>
    <row r="71" spans="1:5" x14ac:dyDescent="0.25">
      <c r="A71">
        <v>5.7</v>
      </c>
      <c r="B71">
        <v>3</v>
      </c>
      <c r="C71">
        <v>4.2</v>
      </c>
      <c r="D71">
        <v>1.2</v>
      </c>
      <c r="E71" t="s">
        <v>6</v>
      </c>
    </row>
    <row r="72" spans="1:5" x14ac:dyDescent="0.25">
      <c r="A72">
        <v>5.7</v>
      </c>
      <c r="B72">
        <v>2.9</v>
      </c>
      <c r="C72">
        <v>4.2</v>
      </c>
      <c r="D72">
        <v>1.3</v>
      </c>
      <c r="E72" t="s">
        <v>6</v>
      </c>
    </row>
    <row r="73" spans="1:5" x14ac:dyDescent="0.25">
      <c r="A73">
        <v>5.7</v>
      </c>
      <c r="B73">
        <v>2.8</v>
      </c>
      <c r="C73">
        <v>4.0999999999999996</v>
      </c>
      <c r="D73">
        <v>1.3</v>
      </c>
      <c r="E73" t="s">
        <v>6</v>
      </c>
    </row>
    <row r="74" spans="1:5" x14ac:dyDescent="0.25">
      <c r="A74">
        <v>5.7</v>
      </c>
      <c r="B74">
        <v>2.5</v>
      </c>
      <c r="C74">
        <v>5</v>
      </c>
      <c r="D74">
        <v>2</v>
      </c>
      <c r="E74" t="s">
        <v>7</v>
      </c>
    </row>
    <row r="75" spans="1:5" x14ac:dyDescent="0.25">
      <c r="A75">
        <v>5.8</v>
      </c>
      <c r="B75">
        <v>4</v>
      </c>
      <c r="C75">
        <v>1.2</v>
      </c>
      <c r="D75">
        <v>0.2</v>
      </c>
      <c r="E75" t="s">
        <v>5</v>
      </c>
    </row>
    <row r="76" spans="1:5" x14ac:dyDescent="0.25">
      <c r="A76">
        <v>5.8</v>
      </c>
      <c r="B76">
        <v>2.7</v>
      </c>
      <c r="C76">
        <v>4.0999999999999996</v>
      </c>
      <c r="D76">
        <v>1</v>
      </c>
      <c r="E76" t="s">
        <v>6</v>
      </c>
    </row>
    <row r="77" spans="1:5" x14ac:dyDescent="0.25">
      <c r="A77">
        <v>5.8</v>
      </c>
      <c r="B77">
        <v>2.7</v>
      </c>
      <c r="C77">
        <v>3.9</v>
      </c>
      <c r="D77">
        <v>1.2</v>
      </c>
      <c r="E77" t="s">
        <v>6</v>
      </c>
    </row>
    <row r="78" spans="1:5" x14ac:dyDescent="0.25">
      <c r="A78">
        <v>5.8</v>
      </c>
      <c r="B78">
        <v>2.6</v>
      </c>
      <c r="C78">
        <v>4</v>
      </c>
      <c r="D78">
        <v>1.2</v>
      </c>
      <c r="E78" t="s">
        <v>6</v>
      </c>
    </row>
    <row r="79" spans="1:5" x14ac:dyDescent="0.25">
      <c r="A79">
        <v>5.8</v>
      </c>
      <c r="B79">
        <v>2.7</v>
      </c>
      <c r="C79">
        <v>5.0999999999999996</v>
      </c>
      <c r="D79">
        <v>1.9</v>
      </c>
      <c r="E79" t="s">
        <v>7</v>
      </c>
    </row>
    <row r="80" spans="1:5" x14ac:dyDescent="0.25">
      <c r="A80">
        <v>5.8</v>
      </c>
      <c r="B80">
        <v>2.8</v>
      </c>
      <c r="C80">
        <v>5.0999999999999996</v>
      </c>
      <c r="D80">
        <v>2.4</v>
      </c>
      <c r="E80" t="s">
        <v>7</v>
      </c>
    </row>
    <row r="81" spans="1:5" x14ac:dyDescent="0.25">
      <c r="A81">
        <v>5.8</v>
      </c>
      <c r="B81">
        <v>2.7</v>
      </c>
      <c r="C81">
        <v>5.0999999999999996</v>
      </c>
      <c r="D81">
        <v>1.9</v>
      </c>
      <c r="E81" t="s">
        <v>7</v>
      </c>
    </row>
    <row r="82" spans="1:5" x14ac:dyDescent="0.25">
      <c r="A82">
        <v>5.9</v>
      </c>
      <c r="B82">
        <v>3</v>
      </c>
      <c r="C82">
        <v>4.2</v>
      </c>
      <c r="D82">
        <v>1.5</v>
      </c>
      <c r="E82" t="s">
        <v>6</v>
      </c>
    </row>
    <row r="83" spans="1:5" x14ac:dyDescent="0.25">
      <c r="A83">
        <v>5.9</v>
      </c>
      <c r="B83">
        <v>3.2</v>
      </c>
      <c r="C83">
        <v>4.8</v>
      </c>
      <c r="D83">
        <v>1.8</v>
      </c>
      <c r="E83" t="s">
        <v>6</v>
      </c>
    </row>
    <row r="84" spans="1:5" x14ac:dyDescent="0.25">
      <c r="A84">
        <v>5.9</v>
      </c>
      <c r="B84">
        <v>3</v>
      </c>
      <c r="C84">
        <v>5.0999999999999996</v>
      </c>
      <c r="D84">
        <v>1.8</v>
      </c>
      <c r="E84" t="s">
        <v>7</v>
      </c>
    </row>
    <row r="85" spans="1:5" x14ac:dyDescent="0.25">
      <c r="A85">
        <v>6</v>
      </c>
      <c r="B85">
        <v>2.2000000000000002</v>
      </c>
      <c r="C85">
        <v>4</v>
      </c>
      <c r="D85">
        <v>1</v>
      </c>
      <c r="E85" t="s">
        <v>6</v>
      </c>
    </row>
    <row r="86" spans="1:5" x14ac:dyDescent="0.25">
      <c r="A86">
        <v>6</v>
      </c>
      <c r="B86">
        <v>2.9</v>
      </c>
      <c r="C86">
        <v>4.5</v>
      </c>
      <c r="D86">
        <v>1.5</v>
      </c>
      <c r="E86" t="s">
        <v>6</v>
      </c>
    </row>
    <row r="87" spans="1:5" x14ac:dyDescent="0.25">
      <c r="A87">
        <v>6</v>
      </c>
      <c r="B87">
        <v>2.7</v>
      </c>
      <c r="C87">
        <v>5.0999999999999996</v>
      </c>
      <c r="D87">
        <v>1.6</v>
      </c>
      <c r="E87" t="s">
        <v>6</v>
      </c>
    </row>
    <row r="88" spans="1:5" x14ac:dyDescent="0.25">
      <c r="A88">
        <v>6</v>
      </c>
      <c r="B88">
        <v>3.4</v>
      </c>
      <c r="C88">
        <v>4.5</v>
      </c>
      <c r="D88">
        <v>1.6</v>
      </c>
      <c r="E88" t="s">
        <v>6</v>
      </c>
    </row>
    <row r="89" spans="1:5" x14ac:dyDescent="0.25">
      <c r="A89">
        <v>6</v>
      </c>
      <c r="B89">
        <v>2.2000000000000002</v>
      </c>
      <c r="C89">
        <v>5</v>
      </c>
      <c r="D89">
        <v>1.5</v>
      </c>
      <c r="E89" t="s">
        <v>7</v>
      </c>
    </row>
    <row r="90" spans="1:5" x14ac:dyDescent="0.25">
      <c r="A90">
        <v>6</v>
      </c>
      <c r="B90">
        <v>3</v>
      </c>
      <c r="C90">
        <v>4.8</v>
      </c>
      <c r="D90">
        <v>1.8</v>
      </c>
      <c r="E90" t="s">
        <v>7</v>
      </c>
    </row>
    <row r="91" spans="1:5" x14ac:dyDescent="0.25">
      <c r="A91">
        <v>6.1</v>
      </c>
      <c r="B91">
        <v>2.9</v>
      </c>
      <c r="C91">
        <v>4.7</v>
      </c>
      <c r="D91">
        <v>1.4</v>
      </c>
      <c r="E91" t="s">
        <v>6</v>
      </c>
    </row>
    <row r="92" spans="1:5" x14ac:dyDescent="0.25">
      <c r="A92">
        <v>6.1</v>
      </c>
      <c r="B92">
        <v>2.8</v>
      </c>
      <c r="C92">
        <v>4</v>
      </c>
      <c r="D92">
        <v>1.3</v>
      </c>
      <c r="E92" t="s">
        <v>6</v>
      </c>
    </row>
    <row r="93" spans="1:5" x14ac:dyDescent="0.25">
      <c r="A93">
        <v>6.1</v>
      </c>
      <c r="B93">
        <v>2.8</v>
      </c>
      <c r="C93">
        <v>4.7</v>
      </c>
      <c r="D93">
        <v>1.2</v>
      </c>
      <c r="E93" t="s">
        <v>6</v>
      </c>
    </row>
    <row r="94" spans="1:5" x14ac:dyDescent="0.25">
      <c r="A94">
        <v>6.1</v>
      </c>
      <c r="B94">
        <v>3</v>
      </c>
      <c r="C94">
        <v>4.5999999999999996</v>
      </c>
      <c r="D94">
        <v>1.4</v>
      </c>
      <c r="E94" t="s">
        <v>6</v>
      </c>
    </row>
    <row r="95" spans="1:5" x14ac:dyDescent="0.25">
      <c r="A95">
        <v>6.1</v>
      </c>
      <c r="B95">
        <v>3</v>
      </c>
      <c r="C95">
        <v>4.9000000000000004</v>
      </c>
      <c r="D95">
        <v>1.8</v>
      </c>
      <c r="E95" t="s">
        <v>7</v>
      </c>
    </row>
    <row r="96" spans="1:5" x14ac:dyDescent="0.25">
      <c r="A96">
        <v>6.1</v>
      </c>
      <c r="B96">
        <v>2.6</v>
      </c>
      <c r="C96">
        <v>5.6</v>
      </c>
      <c r="D96">
        <v>1.4</v>
      </c>
      <c r="E96" t="s">
        <v>7</v>
      </c>
    </row>
    <row r="97" spans="1:5" x14ac:dyDescent="0.25">
      <c r="A97">
        <v>6.2</v>
      </c>
      <c r="B97">
        <v>2.2000000000000002</v>
      </c>
      <c r="C97">
        <v>4.5</v>
      </c>
      <c r="D97">
        <v>1.5</v>
      </c>
      <c r="E97" t="s">
        <v>6</v>
      </c>
    </row>
    <row r="98" spans="1:5" x14ac:dyDescent="0.25">
      <c r="A98">
        <v>6.2</v>
      </c>
      <c r="B98">
        <v>2.9</v>
      </c>
      <c r="C98">
        <v>4.3</v>
      </c>
      <c r="D98">
        <v>1.3</v>
      </c>
      <c r="E98" t="s">
        <v>6</v>
      </c>
    </row>
    <row r="99" spans="1:5" x14ac:dyDescent="0.25">
      <c r="A99">
        <v>6.2</v>
      </c>
      <c r="B99">
        <v>2.8</v>
      </c>
      <c r="C99">
        <v>4.8</v>
      </c>
      <c r="D99">
        <v>1.8</v>
      </c>
      <c r="E99" t="s">
        <v>7</v>
      </c>
    </row>
    <row r="100" spans="1:5" x14ac:dyDescent="0.25">
      <c r="A100">
        <v>6.2</v>
      </c>
      <c r="B100">
        <v>3.4</v>
      </c>
      <c r="C100">
        <v>5.4</v>
      </c>
      <c r="D100">
        <v>2.2999999999999998</v>
      </c>
      <c r="E100" t="s">
        <v>7</v>
      </c>
    </row>
    <row r="101" spans="1:5" x14ac:dyDescent="0.25">
      <c r="A101">
        <v>6.3</v>
      </c>
      <c r="B101">
        <v>3.3</v>
      </c>
      <c r="C101">
        <v>4.7</v>
      </c>
      <c r="D101">
        <v>1.6</v>
      </c>
      <c r="E101" t="s">
        <v>6</v>
      </c>
    </row>
    <row r="102" spans="1:5" x14ac:dyDescent="0.25">
      <c r="A102">
        <v>6.3</v>
      </c>
      <c r="B102">
        <v>2.5</v>
      </c>
      <c r="C102">
        <v>4.9000000000000004</v>
      </c>
      <c r="D102">
        <v>1.5</v>
      </c>
      <c r="E102" t="s">
        <v>6</v>
      </c>
    </row>
    <row r="103" spans="1:5" x14ac:dyDescent="0.25">
      <c r="A103">
        <v>6.3</v>
      </c>
      <c r="B103">
        <v>2.2999999999999998</v>
      </c>
      <c r="C103">
        <v>4.4000000000000004</v>
      </c>
      <c r="D103">
        <v>1.3</v>
      </c>
      <c r="E103" t="s">
        <v>6</v>
      </c>
    </row>
    <row r="104" spans="1:5" x14ac:dyDescent="0.25">
      <c r="A104">
        <v>6.3</v>
      </c>
      <c r="B104">
        <v>3.3</v>
      </c>
      <c r="C104">
        <v>6</v>
      </c>
      <c r="D104">
        <v>2.5</v>
      </c>
      <c r="E104" t="s">
        <v>7</v>
      </c>
    </row>
    <row r="105" spans="1:5" x14ac:dyDescent="0.25">
      <c r="A105">
        <v>6.3</v>
      </c>
      <c r="B105">
        <v>2.9</v>
      </c>
      <c r="C105">
        <v>5.6</v>
      </c>
      <c r="D105">
        <v>1.8</v>
      </c>
      <c r="E105" t="s">
        <v>7</v>
      </c>
    </row>
    <row r="106" spans="1:5" x14ac:dyDescent="0.25">
      <c r="A106">
        <v>6.3</v>
      </c>
      <c r="B106">
        <v>2.7</v>
      </c>
      <c r="C106">
        <v>4.9000000000000004</v>
      </c>
      <c r="D106">
        <v>1.8</v>
      </c>
      <c r="E106" t="s">
        <v>7</v>
      </c>
    </row>
    <row r="107" spans="1:5" x14ac:dyDescent="0.25">
      <c r="A107">
        <v>6.3</v>
      </c>
      <c r="B107">
        <v>2.8</v>
      </c>
      <c r="C107">
        <v>5.0999999999999996</v>
      </c>
      <c r="D107">
        <v>1.5</v>
      </c>
      <c r="E107" t="s">
        <v>7</v>
      </c>
    </row>
    <row r="108" spans="1:5" x14ac:dyDescent="0.25">
      <c r="A108">
        <v>6.3</v>
      </c>
      <c r="B108">
        <v>3.4</v>
      </c>
      <c r="C108">
        <v>5.6</v>
      </c>
      <c r="D108">
        <v>2.4</v>
      </c>
      <c r="E108" t="s">
        <v>7</v>
      </c>
    </row>
    <row r="109" spans="1:5" x14ac:dyDescent="0.25">
      <c r="A109">
        <v>6.3</v>
      </c>
      <c r="B109">
        <v>2.5</v>
      </c>
      <c r="C109">
        <v>5</v>
      </c>
      <c r="D109">
        <v>1.9</v>
      </c>
      <c r="E109" t="s">
        <v>7</v>
      </c>
    </row>
    <row r="110" spans="1:5" x14ac:dyDescent="0.25">
      <c r="A110">
        <v>6.4</v>
      </c>
      <c r="B110">
        <v>3.2</v>
      </c>
      <c r="C110">
        <v>4.5</v>
      </c>
      <c r="D110">
        <v>1.5</v>
      </c>
      <c r="E110" t="s">
        <v>6</v>
      </c>
    </row>
    <row r="111" spans="1:5" x14ac:dyDescent="0.25">
      <c r="A111">
        <v>6.4</v>
      </c>
      <c r="B111">
        <v>2.9</v>
      </c>
      <c r="C111">
        <v>4.3</v>
      </c>
      <c r="D111">
        <v>1.3</v>
      </c>
      <c r="E111" t="s">
        <v>6</v>
      </c>
    </row>
    <row r="112" spans="1:5" x14ac:dyDescent="0.25">
      <c r="A112">
        <v>6.4</v>
      </c>
      <c r="B112">
        <v>2.7</v>
      </c>
      <c r="C112">
        <v>5.3</v>
      </c>
      <c r="D112">
        <v>1.9</v>
      </c>
      <c r="E112" t="s">
        <v>7</v>
      </c>
    </row>
    <row r="113" spans="1:5" x14ac:dyDescent="0.25">
      <c r="A113">
        <v>6.4</v>
      </c>
      <c r="B113">
        <v>3.2</v>
      </c>
      <c r="C113">
        <v>5.3</v>
      </c>
      <c r="D113">
        <v>2.2999999999999998</v>
      </c>
      <c r="E113" t="s">
        <v>7</v>
      </c>
    </row>
    <row r="114" spans="1:5" x14ac:dyDescent="0.25">
      <c r="A114">
        <v>6.4</v>
      </c>
      <c r="B114">
        <v>2.8</v>
      </c>
      <c r="C114">
        <v>5.6</v>
      </c>
      <c r="D114">
        <v>2.1</v>
      </c>
      <c r="E114" t="s">
        <v>7</v>
      </c>
    </row>
    <row r="115" spans="1:5" x14ac:dyDescent="0.25">
      <c r="A115">
        <v>6.4</v>
      </c>
      <c r="B115">
        <v>2.8</v>
      </c>
      <c r="C115">
        <v>5.6</v>
      </c>
      <c r="D115">
        <v>2.2000000000000002</v>
      </c>
      <c r="E115" t="s">
        <v>7</v>
      </c>
    </row>
    <row r="116" spans="1:5" x14ac:dyDescent="0.25">
      <c r="A116">
        <v>6.4</v>
      </c>
      <c r="B116">
        <v>3.1</v>
      </c>
      <c r="C116">
        <v>5.5</v>
      </c>
      <c r="D116">
        <v>1.8</v>
      </c>
      <c r="E116" t="s">
        <v>7</v>
      </c>
    </row>
    <row r="117" spans="1:5" x14ac:dyDescent="0.25">
      <c r="A117">
        <v>6.5</v>
      </c>
      <c r="B117">
        <v>2.8</v>
      </c>
      <c r="C117">
        <v>4.5999999999999996</v>
      </c>
      <c r="D117">
        <v>1.5</v>
      </c>
      <c r="E117" t="s">
        <v>6</v>
      </c>
    </row>
    <row r="118" spans="1:5" x14ac:dyDescent="0.25">
      <c r="A118">
        <v>6.5</v>
      </c>
      <c r="B118">
        <v>3</v>
      </c>
      <c r="C118">
        <v>5.8</v>
      </c>
      <c r="D118">
        <v>2.2000000000000002</v>
      </c>
      <c r="E118" t="s">
        <v>7</v>
      </c>
    </row>
    <row r="119" spans="1:5" x14ac:dyDescent="0.25">
      <c r="A119">
        <v>6.5</v>
      </c>
      <c r="B119">
        <v>3.2</v>
      </c>
      <c r="C119">
        <v>5.0999999999999996</v>
      </c>
      <c r="D119">
        <v>2</v>
      </c>
      <c r="E119" t="s">
        <v>7</v>
      </c>
    </row>
    <row r="120" spans="1:5" x14ac:dyDescent="0.25">
      <c r="A120">
        <v>6.5</v>
      </c>
      <c r="B120">
        <v>3</v>
      </c>
      <c r="C120">
        <v>5.5</v>
      </c>
      <c r="D120">
        <v>1.8</v>
      </c>
      <c r="E120" t="s">
        <v>7</v>
      </c>
    </row>
    <row r="121" spans="1:5" x14ac:dyDescent="0.25">
      <c r="A121">
        <v>6.5</v>
      </c>
      <c r="B121">
        <v>3</v>
      </c>
      <c r="C121">
        <v>5.2</v>
      </c>
      <c r="D121">
        <v>2</v>
      </c>
      <c r="E121" t="s">
        <v>7</v>
      </c>
    </row>
    <row r="122" spans="1:5" x14ac:dyDescent="0.25">
      <c r="A122">
        <v>6.6</v>
      </c>
      <c r="B122">
        <v>2.9</v>
      </c>
      <c r="C122">
        <v>4.5999999999999996</v>
      </c>
      <c r="D122">
        <v>1.3</v>
      </c>
      <c r="E122" t="s">
        <v>6</v>
      </c>
    </row>
    <row r="123" spans="1:5" x14ac:dyDescent="0.25">
      <c r="A123">
        <v>6.6</v>
      </c>
      <c r="B123">
        <v>3</v>
      </c>
      <c r="C123">
        <v>4.4000000000000004</v>
      </c>
      <c r="D123">
        <v>1.4</v>
      </c>
      <c r="E123" t="s">
        <v>6</v>
      </c>
    </row>
    <row r="124" spans="1:5" x14ac:dyDescent="0.25">
      <c r="A124">
        <v>6.7</v>
      </c>
      <c r="B124">
        <v>3.1</v>
      </c>
      <c r="C124">
        <v>4.4000000000000004</v>
      </c>
      <c r="D124">
        <v>1.4</v>
      </c>
      <c r="E124" t="s">
        <v>6</v>
      </c>
    </row>
    <row r="125" spans="1:5" x14ac:dyDescent="0.25">
      <c r="A125">
        <v>6.7</v>
      </c>
      <c r="B125">
        <v>3</v>
      </c>
      <c r="C125">
        <v>5</v>
      </c>
      <c r="D125">
        <v>1.7</v>
      </c>
      <c r="E125" t="s">
        <v>6</v>
      </c>
    </row>
    <row r="126" spans="1:5" x14ac:dyDescent="0.25">
      <c r="A126">
        <v>6.7</v>
      </c>
      <c r="B126">
        <v>3.1</v>
      </c>
      <c r="C126">
        <v>4.7</v>
      </c>
      <c r="D126">
        <v>1.5</v>
      </c>
      <c r="E126" t="s">
        <v>6</v>
      </c>
    </row>
    <row r="127" spans="1:5" x14ac:dyDescent="0.25">
      <c r="A127">
        <v>6.7</v>
      </c>
      <c r="B127">
        <v>2.5</v>
      </c>
      <c r="C127">
        <v>5.8</v>
      </c>
      <c r="D127">
        <v>1.8</v>
      </c>
      <c r="E127" t="s">
        <v>7</v>
      </c>
    </row>
    <row r="128" spans="1:5" x14ac:dyDescent="0.25">
      <c r="A128">
        <v>6.7</v>
      </c>
      <c r="B128">
        <v>3.3</v>
      </c>
      <c r="C128">
        <v>5.7</v>
      </c>
      <c r="D128">
        <v>2.1</v>
      </c>
      <c r="E128" t="s">
        <v>7</v>
      </c>
    </row>
    <row r="129" spans="1:5" x14ac:dyDescent="0.25">
      <c r="A129">
        <v>6.7</v>
      </c>
      <c r="B129">
        <v>3.1</v>
      </c>
      <c r="C129">
        <v>5.6</v>
      </c>
      <c r="D129">
        <v>2.4</v>
      </c>
      <c r="E129" t="s">
        <v>7</v>
      </c>
    </row>
    <row r="130" spans="1:5" x14ac:dyDescent="0.25">
      <c r="A130">
        <v>6.7</v>
      </c>
      <c r="B130">
        <v>3.3</v>
      </c>
      <c r="C130">
        <v>5.7</v>
      </c>
      <c r="D130">
        <v>2.5</v>
      </c>
      <c r="E130" t="s">
        <v>7</v>
      </c>
    </row>
    <row r="131" spans="1:5" x14ac:dyDescent="0.25">
      <c r="A131">
        <v>6.7</v>
      </c>
      <c r="B131">
        <v>3</v>
      </c>
      <c r="C131">
        <v>5.2</v>
      </c>
      <c r="D131">
        <v>2.2999999999999998</v>
      </c>
      <c r="E131" t="s">
        <v>7</v>
      </c>
    </row>
    <row r="132" spans="1:5" x14ac:dyDescent="0.25">
      <c r="A132">
        <v>6.8</v>
      </c>
      <c r="B132">
        <v>2.8</v>
      </c>
      <c r="C132">
        <v>4.8</v>
      </c>
      <c r="D132">
        <v>1.4</v>
      </c>
      <c r="E132" t="s">
        <v>6</v>
      </c>
    </row>
    <row r="133" spans="1:5" x14ac:dyDescent="0.25">
      <c r="A133">
        <v>6.8</v>
      </c>
      <c r="B133">
        <v>3</v>
      </c>
      <c r="C133">
        <v>5.5</v>
      </c>
      <c r="D133">
        <v>2.1</v>
      </c>
      <c r="E133" t="s">
        <v>7</v>
      </c>
    </row>
    <row r="134" spans="1:5" x14ac:dyDescent="0.25">
      <c r="A134">
        <v>6.8</v>
      </c>
      <c r="B134">
        <v>3.2</v>
      </c>
      <c r="C134">
        <v>5.9</v>
      </c>
      <c r="D134">
        <v>2.2999999999999998</v>
      </c>
      <c r="E134" t="s">
        <v>7</v>
      </c>
    </row>
    <row r="135" spans="1:5" x14ac:dyDescent="0.25">
      <c r="A135">
        <v>6.9</v>
      </c>
      <c r="B135">
        <v>3.1</v>
      </c>
      <c r="C135">
        <v>4.9000000000000004</v>
      </c>
      <c r="D135">
        <v>1.5</v>
      </c>
      <c r="E135" t="s">
        <v>6</v>
      </c>
    </row>
    <row r="136" spans="1:5" x14ac:dyDescent="0.25">
      <c r="A136">
        <v>6.9</v>
      </c>
      <c r="B136">
        <v>3.2</v>
      </c>
      <c r="C136">
        <v>5.7</v>
      </c>
      <c r="D136">
        <v>2.2999999999999998</v>
      </c>
      <c r="E136" t="s">
        <v>7</v>
      </c>
    </row>
    <row r="137" spans="1:5" x14ac:dyDescent="0.25">
      <c r="A137">
        <v>6.9</v>
      </c>
      <c r="B137">
        <v>3.1</v>
      </c>
      <c r="C137">
        <v>5.4</v>
      </c>
      <c r="D137">
        <v>2.1</v>
      </c>
      <c r="E137" t="s">
        <v>7</v>
      </c>
    </row>
    <row r="138" spans="1:5" x14ac:dyDescent="0.25">
      <c r="A138">
        <v>6.9</v>
      </c>
      <c r="B138">
        <v>3.1</v>
      </c>
      <c r="C138">
        <v>5.0999999999999996</v>
      </c>
      <c r="D138">
        <v>2.2999999999999998</v>
      </c>
      <c r="E138" t="s">
        <v>7</v>
      </c>
    </row>
    <row r="139" spans="1:5" x14ac:dyDescent="0.25">
      <c r="A139">
        <v>7</v>
      </c>
      <c r="B139">
        <v>3.2</v>
      </c>
      <c r="C139">
        <v>4.7</v>
      </c>
      <c r="D139">
        <v>1.4</v>
      </c>
      <c r="E139" t="s">
        <v>6</v>
      </c>
    </row>
    <row r="140" spans="1:5" x14ac:dyDescent="0.25">
      <c r="A140">
        <v>7.1</v>
      </c>
      <c r="B140">
        <v>3</v>
      </c>
      <c r="C140">
        <v>5.9</v>
      </c>
      <c r="D140">
        <v>2.1</v>
      </c>
      <c r="E140" t="s">
        <v>7</v>
      </c>
    </row>
    <row r="141" spans="1:5" x14ac:dyDescent="0.25">
      <c r="A141">
        <v>7.2</v>
      </c>
      <c r="B141">
        <v>3.6</v>
      </c>
      <c r="C141">
        <v>6.1</v>
      </c>
      <c r="D141">
        <v>2.5</v>
      </c>
      <c r="E141" t="s">
        <v>7</v>
      </c>
    </row>
    <row r="142" spans="1:5" x14ac:dyDescent="0.25">
      <c r="A142">
        <v>7.2</v>
      </c>
      <c r="B142">
        <v>3.2</v>
      </c>
      <c r="C142">
        <v>6</v>
      </c>
      <c r="D142">
        <v>1.8</v>
      </c>
      <c r="E142" t="s">
        <v>7</v>
      </c>
    </row>
    <row r="143" spans="1:5" x14ac:dyDescent="0.25">
      <c r="A143">
        <v>7.2</v>
      </c>
      <c r="B143">
        <v>3</v>
      </c>
      <c r="C143">
        <v>5.8</v>
      </c>
      <c r="D143">
        <v>1.6</v>
      </c>
      <c r="E143" t="s">
        <v>7</v>
      </c>
    </row>
    <row r="144" spans="1:5" x14ac:dyDescent="0.25">
      <c r="A144">
        <v>7.3</v>
      </c>
      <c r="B144">
        <v>2.9</v>
      </c>
      <c r="C144">
        <v>6.3</v>
      </c>
      <c r="D144">
        <v>1.8</v>
      </c>
      <c r="E144" t="s">
        <v>7</v>
      </c>
    </row>
    <row r="145" spans="1:5" x14ac:dyDescent="0.25">
      <c r="A145">
        <v>7.4</v>
      </c>
      <c r="B145">
        <v>2.8</v>
      </c>
      <c r="C145">
        <v>6.1</v>
      </c>
      <c r="D145">
        <v>1.9</v>
      </c>
      <c r="E145" t="s">
        <v>7</v>
      </c>
    </row>
    <row r="146" spans="1:5" x14ac:dyDescent="0.25">
      <c r="A146">
        <v>7.6</v>
      </c>
      <c r="B146">
        <v>3</v>
      </c>
      <c r="C146">
        <v>6.6</v>
      </c>
      <c r="D146">
        <v>2.1</v>
      </c>
      <c r="E146" t="s">
        <v>7</v>
      </c>
    </row>
    <row r="147" spans="1:5" x14ac:dyDescent="0.25">
      <c r="A147">
        <v>7.7</v>
      </c>
      <c r="B147">
        <v>3.8</v>
      </c>
      <c r="C147">
        <v>6.7</v>
      </c>
      <c r="D147">
        <v>2.2000000000000002</v>
      </c>
      <c r="E147" t="s">
        <v>7</v>
      </c>
    </row>
    <row r="148" spans="1:5" x14ac:dyDescent="0.25">
      <c r="A148">
        <v>7.7</v>
      </c>
      <c r="B148">
        <v>2.6</v>
      </c>
      <c r="C148">
        <v>6.9</v>
      </c>
      <c r="D148">
        <v>2.2999999999999998</v>
      </c>
      <c r="E148" t="s">
        <v>7</v>
      </c>
    </row>
    <row r="149" spans="1:5" x14ac:dyDescent="0.25">
      <c r="A149">
        <v>7.7</v>
      </c>
      <c r="B149">
        <v>2.8</v>
      </c>
      <c r="C149">
        <v>6.7</v>
      </c>
      <c r="D149">
        <v>2</v>
      </c>
      <c r="E149" t="s">
        <v>7</v>
      </c>
    </row>
    <row r="150" spans="1:5" x14ac:dyDescent="0.25">
      <c r="A150">
        <v>7.7</v>
      </c>
      <c r="B150">
        <v>3</v>
      </c>
      <c r="C150">
        <v>6.1</v>
      </c>
      <c r="D150">
        <v>2.2999999999999998</v>
      </c>
      <c r="E150" t="s">
        <v>7</v>
      </c>
    </row>
    <row r="151" spans="1:5" x14ac:dyDescent="0.25">
      <c r="A151">
        <v>7.9</v>
      </c>
      <c r="B151">
        <v>3.8</v>
      </c>
      <c r="C151">
        <v>6.4</v>
      </c>
      <c r="D151">
        <v>2</v>
      </c>
      <c r="E151"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13"/>
  <sheetViews>
    <sheetView topLeftCell="A128" workbookViewId="0">
      <selection activeCell="D163" sqref="D163"/>
    </sheetView>
  </sheetViews>
  <sheetFormatPr baseColWidth="10" defaultRowHeight="15" x14ac:dyDescent="0.25"/>
  <cols>
    <col min="1" max="1" width="7.5703125" style="10" customWidth="1"/>
    <col min="2" max="2" width="16.7109375" customWidth="1"/>
    <col min="3" max="3" width="14.85546875" customWidth="1"/>
    <col min="4" max="4" width="16.28515625" customWidth="1"/>
    <col min="5" max="5" width="16.85546875" customWidth="1"/>
    <col min="6" max="6" width="18" customWidth="1"/>
    <col min="7" max="8" width="3.5703125" customWidth="1"/>
    <col min="9" max="9" width="3.85546875" customWidth="1"/>
    <col min="10" max="10" width="10.140625" customWidth="1"/>
    <col min="11" max="11" width="13" customWidth="1"/>
    <col min="12" max="12" width="17.5703125" customWidth="1"/>
    <col min="15" max="15" width="13.85546875" customWidth="1"/>
    <col min="16" max="16" width="18.140625" customWidth="1"/>
    <col min="17" max="17" width="17.140625" style="10" customWidth="1"/>
    <col min="18" max="18" width="16.85546875" customWidth="1"/>
    <col min="20" max="20" width="7.5703125" customWidth="1"/>
    <col min="21" max="21" width="6.85546875" customWidth="1"/>
    <col min="22" max="22" width="23.42578125" customWidth="1"/>
    <col min="28" max="28" width="12.140625" customWidth="1"/>
    <col min="29" max="29" width="18.140625" customWidth="1"/>
  </cols>
  <sheetData>
    <row r="1" spans="1:6" x14ac:dyDescent="0.25">
      <c r="B1" t="s">
        <v>0</v>
      </c>
      <c r="C1" t="s">
        <v>1</v>
      </c>
      <c r="D1" t="s">
        <v>2</v>
      </c>
      <c r="E1" t="s">
        <v>3</v>
      </c>
      <c r="F1" t="s">
        <v>4</v>
      </c>
    </row>
    <row r="2" spans="1:6" x14ac:dyDescent="0.25">
      <c r="A2" s="10">
        <v>1</v>
      </c>
      <c r="B2" t="s">
        <v>8</v>
      </c>
      <c r="C2" t="s">
        <v>8</v>
      </c>
      <c r="D2" t="s">
        <v>8</v>
      </c>
      <c r="E2" t="s">
        <v>8</v>
      </c>
      <c r="F2" t="s">
        <v>5</v>
      </c>
    </row>
    <row r="3" spans="1:6" x14ac:dyDescent="0.25">
      <c r="A3" s="10">
        <f>1+A2</f>
        <v>2</v>
      </c>
      <c r="B3" t="s">
        <v>8</v>
      </c>
      <c r="C3" t="s">
        <v>8</v>
      </c>
      <c r="D3" t="s">
        <v>8</v>
      </c>
      <c r="E3" t="s">
        <v>8</v>
      </c>
      <c r="F3" t="s">
        <v>5</v>
      </c>
    </row>
    <row r="4" spans="1:6" x14ac:dyDescent="0.25">
      <c r="A4" s="10">
        <f t="shared" ref="A4:A67" si="0">1+A3</f>
        <v>3</v>
      </c>
      <c r="B4" t="s">
        <v>8</v>
      </c>
      <c r="C4" t="s">
        <v>9</v>
      </c>
      <c r="D4" t="s">
        <v>8</v>
      </c>
      <c r="E4" t="s">
        <v>8</v>
      </c>
      <c r="F4" t="s">
        <v>5</v>
      </c>
    </row>
    <row r="5" spans="1:6" x14ac:dyDescent="0.25">
      <c r="A5" s="10">
        <f t="shared" si="0"/>
        <v>4</v>
      </c>
      <c r="B5" t="s">
        <v>8</v>
      </c>
      <c r="C5" t="s">
        <v>9</v>
      </c>
      <c r="D5" t="s">
        <v>8</v>
      </c>
      <c r="E5" t="s">
        <v>8</v>
      </c>
      <c r="F5" t="s">
        <v>5</v>
      </c>
    </row>
    <row r="6" spans="1:6" x14ac:dyDescent="0.25">
      <c r="A6" s="10">
        <f t="shared" si="0"/>
        <v>5</v>
      </c>
      <c r="B6" t="s">
        <v>8</v>
      </c>
      <c r="C6" t="s">
        <v>9</v>
      </c>
      <c r="D6" t="s">
        <v>8</v>
      </c>
      <c r="E6" t="s">
        <v>8</v>
      </c>
      <c r="F6" t="s">
        <v>5</v>
      </c>
    </row>
    <row r="7" spans="1:6" x14ac:dyDescent="0.25">
      <c r="A7" s="10">
        <f t="shared" si="0"/>
        <v>6</v>
      </c>
      <c r="B7" t="s">
        <v>8</v>
      </c>
      <c r="C7" t="s">
        <v>9</v>
      </c>
      <c r="D7" t="s">
        <v>8</v>
      </c>
      <c r="E7" t="s">
        <v>8</v>
      </c>
      <c r="F7" t="s">
        <v>5</v>
      </c>
    </row>
    <row r="8" spans="1:6" x14ac:dyDescent="0.25">
      <c r="A8" s="10">
        <f t="shared" si="0"/>
        <v>7</v>
      </c>
      <c r="B8" t="s">
        <v>8</v>
      </c>
      <c r="C8" t="s">
        <v>9</v>
      </c>
      <c r="D8" t="s">
        <v>8</v>
      </c>
      <c r="E8" t="s">
        <v>8</v>
      </c>
      <c r="F8" t="s">
        <v>5</v>
      </c>
    </row>
    <row r="9" spans="1:6" x14ac:dyDescent="0.25">
      <c r="A9" s="10">
        <f t="shared" si="0"/>
        <v>8</v>
      </c>
      <c r="B9" t="s">
        <v>8</v>
      </c>
      <c r="C9" t="s">
        <v>9</v>
      </c>
      <c r="D9" t="s">
        <v>8</v>
      </c>
      <c r="E9" t="s">
        <v>8</v>
      </c>
      <c r="F9" t="s">
        <v>5</v>
      </c>
    </row>
    <row r="10" spans="1:6" x14ac:dyDescent="0.25">
      <c r="A10" s="10">
        <f t="shared" si="0"/>
        <v>9</v>
      </c>
      <c r="B10" t="s">
        <v>8</v>
      </c>
      <c r="C10" t="s">
        <v>9</v>
      </c>
      <c r="D10" t="s">
        <v>8</v>
      </c>
      <c r="E10" t="s">
        <v>8</v>
      </c>
      <c r="F10" t="s">
        <v>5</v>
      </c>
    </row>
    <row r="11" spans="1:6" x14ac:dyDescent="0.25">
      <c r="A11" s="10">
        <f t="shared" si="0"/>
        <v>10</v>
      </c>
      <c r="B11" t="s">
        <v>8</v>
      </c>
      <c r="C11" t="s">
        <v>9</v>
      </c>
      <c r="D11" t="s">
        <v>8</v>
      </c>
      <c r="E11" t="s">
        <v>8</v>
      </c>
      <c r="F11" t="s">
        <v>5</v>
      </c>
    </row>
    <row r="12" spans="1:6" x14ac:dyDescent="0.25">
      <c r="A12" s="10">
        <f t="shared" si="0"/>
        <v>11</v>
      </c>
      <c r="B12" t="s">
        <v>8</v>
      </c>
      <c r="C12" t="s">
        <v>9</v>
      </c>
      <c r="D12" t="s">
        <v>8</v>
      </c>
      <c r="E12" t="s">
        <v>8</v>
      </c>
      <c r="F12" t="s">
        <v>5</v>
      </c>
    </row>
    <row r="13" spans="1:6" x14ac:dyDescent="0.25">
      <c r="A13" s="10">
        <f t="shared" si="0"/>
        <v>12</v>
      </c>
      <c r="B13" t="s">
        <v>8</v>
      </c>
      <c r="C13" t="s">
        <v>9</v>
      </c>
      <c r="D13" t="s">
        <v>8</v>
      </c>
      <c r="E13" t="s">
        <v>8</v>
      </c>
      <c r="F13" t="s">
        <v>5</v>
      </c>
    </row>
    <row r="14" spans="1:6" x14ac:dyDescent="0.25">
      <c r="A14" s="10">
        <f t="shared" si="0"/>
        <v>13</v>
      </c>
      <c r="B14" t="s">
        <v>8</v>
      </c>
      <c r="C14" t="s">
        <v>9</v>
      </c>
      <c r="D14" t="s">
        <v>8</v>
      </c>
      <c r="E14" t="s">
        <v>8</v>
      </c>
      <c r="F14" t="s">
        <v>5</v>
      </c>
    </row>
    <row r="15" spans="1:6" x14ac:dyDescent="0.25">
      <c r="A15" s="10">
        <f t="shared" si="0"/>
        <v>14</v>
      </c>
      <c r="B15" t="s">
        <v>8</v>
      </c>
      <c r="C15" t="s">
        <v>9</v>
      </c>
      <c r="D15" t="s">
        <v>8</v>
      </c>
      <c r="E15" t="s">
        <v>8</v>
      </c>
      <c r="F15" t="s">
        <v>5</v>
      </c>
    </row>
    <row r="16" spans="1:6" x14ac:dyDescent="0.25">
      <c r="A16" s="10">
        <f t="shared" si="0"/>
        <v>15</v>
      </c>
      <c r="B16" t="s">
        <v>8</v>
      </c>
      <c r="C16" t="s">
        <v>9</v>
      </c>
      <c r="D16" t="s">
        <v>8</v>
      </c>
      <c r="E16" t="s">
        <v>8</v>
      </c>
      <c r="F16" t="s">
        <v>5</v>
      </c>
    </row>
    <row r="17" spans="1:6" x14ac:dyDescent="0.25">
      <c r="A17" s="10">
        <f t="shared" si="0"/>
        <v>16</v>
      </c>
      <c r="B17" t="s">
        <v>8</v>
      </c>
      <c r="C17" t="s">
        <v>9</v>
      </c>
      <c r="D17" t="s">
        <v>8</v>
      </c>
      <c r="E17" t="s">
        <v>8</v>
      </c>
      <c r="F17" t="s">
        <v>5</v>
      </c>
    </row>
    <row r="18" spans="1:6" x14ac:dyDescent="0.25">
      <c r="A18" s="10">
        <f t="shared" si="0"/>
        <v>17</v>
      </c>
      <c r="B18" t="s">
        <v>8</v>
      </c>
      <c r="C18" t="s">
        <v>9</v>
      </c>
      <c r="D18" t="s">
        <v>8</v>
      </c>
      <c r="E18" t="s">
        <v>8</v>
      </c>
      <c r="F18" t="s">
        <v>5</v>
      </c>
    </row>
    <row r="19" spans="1:6" x14ac:dyDescent="0.25">
      <c r="A19" s="10">
        <f t="shared" si="0"/>
        <v>18</v>
      </c>
      <c r="B19" t="s">
        <v>8</v>
      </c>
      <c r="C19" t="s">
        <v>9</v>
      </c>
      <c r="D19" t="s">
        <v>8</v>
      </c>
      <c r="E19" t="s">
        <v>8</v>
      </c>
      <c r="F19" t="s">
        <v>5</v>
      </c>
    </row>
    <row r="20" spans="1:6" x14ac:dyDescent="0.25">
      <c r="A20" s="10">
        <f t="shared" si="0"/>
        <v>19</v>
      </c>
      <c r="B20" t="s">
        <v>8</v>
      </c>
      <c r="C20" t="s">
        <v>9</v>
      </c>
      <c r="D20" t="s">
        <v>8</v>
      </c>
      <c r="E20" t="s">
        <v>8</v>
      </c>
      <c r="F20" t="s">
        <v>5</v>
      </c>
    </row>
    <row r="21" spans="1:6" x14ac:dyDescent="0.25">
      <c r="A21" s="10">
        <f t="shared" si="0"/>
        <v>20</v>
      </c>
      <c r="B21" t="s">
        <v>8</v>
      </c>
      <c r="C21" t="s">
        <v>9</v>
      </c>
      <c r="D21" t="s">
        <v>8</v>
      </c>
      <c r="E21" t="s">
        <v>8</v>
      </c>
      <c r="F21" t="s">
        <v>5</v>
      </c>
    </row>
    <row r="22" spans="1:6" x14ac:dyDescent="0.25">
      <c r="A22" s="10">
        <f t="shared" si="0"/>
        <v>21</v>
      </c>
      <c r="B22" t="s">
        <v>8</v>
      </c>
      <c r="C22" t="s">
        <v>9</v>
      </c>
      <c r="D22" t="s">
        <v>8</v>
      </c>
      <c r="E22" t="s">
        <v>8</v>
      </c>
      <c r="F22" t="s">
        <v>5</v>
      </c>
    </row>
    <row r="23" spans="1:6" x14ac:dyDescent="0.25">
      <c r="A23" s="10">
        <f t="shared" si="0"/>
        <v>22</v>
      </c>
      <c r="B23" t="s">
        <v>8</v>
      </c>
      <c r="C23" t="s">
        <v>9</v>
      </c>
      <c r="D23" t="s">
        <v>8</v>
      </c>
      <c r="E23" t="s">
        <v>8</v>
      </c>
      <c r="F23" t="s">
        <v>5</v>
      </c>
    </row>
    <row r="24" spans="1:6" x14ac:dyDescent="0.25">
      <c r="A24" s="10">
        <f t="shared" si="0"/>
        <v>23</v>
      </c>
      <c r="B24" t="s">
        <v>8</v>
      </c>
      <c r="C24" t="s">
        <v>9</v>
      </c>
      <c r="D24" t="s">
        <v>8</v>
      </c>
      <c r="E24" t="s">
        <v>8</v>
      </c>
      <c r="F24" t="s">
        <v>5</v>
      </c>
    </row>
    <row r="25" spans="1:6" x14ac:dyDescent="0.25">
      <c r="A25" s="10">
        <f t="shared" si="0"/>
        <v>24</v>
      </c>
      <c r="B25" t="s">
        <v>8</v>
      </c>
      <c r="C25" t="s">
        <v>9</v>
      </c>
      <c r="D25" t="s">
        <v>8</v>
      </c>
      <c r="E25" t="s">
        <v>8</v>
      </c>
      <c r="F25" t="s">
        <v>5</v>
      </c>
    </row>
    <row r="26" spans="1:6" x14ac:dyDescent="0.25">
      <c r="A26" s="10">
        <f t="shared" si="0"/>
        <v>25</v>
      </c>
      <c r="B26" t="s">
        <v>8</v>
      </c>
      <c r="C26" t="s">
        <v>9</v>
      </c>
      <c r="D26" t="s">
        <v>8</v>
      </c>
      <c r="E26" t="s">
        <v>8</v>
      </c>
      <c r="F26" t="s">
        <v>5</v>
      </c>
    </row>
    <row r="27" spans="1:6" x14ac:dyDescent="0.25">
      <c r="A27" s="10">
        <f t="shared" si="0"/>
        <v>26</v>
      </c>
      <c r="B27" t="s">
        <v>8</v>
      </c>
      <c r="C27" t="s">
        <v>9</v>
      </c>
      <c r="D27" t="s">
        <v>8</v>
      </c>
      <c r="E27" t="s">
        <v>8</v>
      </c>
      <c r="F27" t="s">
        <v>5</v>
      </c>
    </row>
    <row r="28" spans="1:6" x14ac:dyDescent="0.25">
      <c r="A28" s="10">
        <f t="shared" si="0"/>
        <v>27</v>
      </c>
      <c r="B28" t="s">
        <v>8</v>
      </c>
      <c r="C28" t="s">
        <v>9</v>
      </c>
      <c r="D28" t="s">
        <v>8</v>
      </c>
      <c r="E28" t="s">
        <v>8</v>
      </c>
      <c r="F28" t="s">
        <v>5</v>
      </c>
    </row>
    <row r="29" spans="1:6" x14ac:dyDescent="0.25">
      <c r="A29" s="10">
        <f t="shared" si="0"/>
        <v>28</v>
      </c>
      <c r="B29" t="s">
        <v>8</v>
      </c>
      <c r="C29" t="s">
        <v>9</v>
      </c>
      <c r="D29" t="s">
        <v>8</v>
      </c>
      <c r="E29" t="s">
        <v>8</v>
      </c>
      <c r="F29" t="s">
        <v>5</v>
      </c>
    </row>
    <row r="30" spans="1:6" x14ac:dyDescent="0.25">
      <c r="A30" s="10">
        <f t="shared" si="0"/>
        <v>29</v>
      </c>
      <c r="B30" t="s">
        <v>8</v>
      </c>
      <c r="C30" t="s">
        <v>9</v>
      </c>
      <c r="D30" t="s">
        <v>8</v>
      </c>
      <c r="E30" t="s">
        <v>8</v>
      </c>
      <c r="F30" t="s">
        <v>5</v>
      </c>
    </row>
    <row r="31" spans="1:6" x14ac:dyDescent="0.25">
      <c r="A31" s="10">
        <f t="shared" si="0"/>
        <v>30</v>
      </c>
      <c r="B31" t="s">
        <v>8</v>
      </c>
      <c r="C31" t="s">
        <v>10</v>
      </c>
      <c r="D31" t="s">
        <v>8</v>
      </c>
      <c r="E31" t="s">
        <v>8</v>
      </c>
      <c r="F31" t="s">
        <v>5</v>
      </c>
    </row>
    <row r="32" spans="1:6" x14ac:dyDescent="0.25">
      <c r="A32" s="10">
        <f t="shared" si="0"/>
        <v>31</v>
      </c>
      <c r="B32" t="s">
        <v>8</v>
      </c>
      <c r="C32" t="s">
        <v>10</v>
      </c>
      <c r="D32" t="s">
        <v>8</v>
      </c>
      <c r="E32" t="s">
        <v>8</v>
      </c>
      <c r="F32" t="s">
        <v>5</v>
      </c>
    </row>
    <row r="33" spans="1:6" x14ac:dyDescent="0.25">
      <c r="A33" s="10">
        <f t="shared" si="0"/>
        <v>32</v>
      </c>
      <c r="B33" t="s">
        <v>8</v>
      </c>
      <c r="C33" t="s">
        <v>10</v>
      </c>
      <c r="D33" t="s">
        <v>8</v>
      </c>
      <c r="E33" t="s">
        <v>8</v>
      </c>
      <c r="F33" t="s">
        <v>5</v>
      </c>
    </row>
    <row r="34" spans="1:6" x14ac:dyDescent="0.25">
      <c r="A34" s="10">
        <f t="shared" si="0"/>
        <v>33</v>
      </c>
      <c r="B34" t="s">
        <v>8</v>
      </c>
      <c r="C34" t="s">
        <v>10</v>
      </c>
      <c r="D34" t="s">
        <v>8</v>
      </c>
      <c r="E34" t="s">
        <v>8</v>
      </c>
      <c r="F34" t="s">
        <v>5</v>
      </c>
    </row>
    <row r="35" spans="1:6" x14ac:dyDescent="0.25">
      <c r="A35" s="10">
        <f t="shared" si="0"/>
        <v>34</v>
      </c>
      <c r="B35" t="s">
        <v>8</v>
      </c>
      <c r="C35" t="s">
        <v>10</v>
      </c>
      <c r="D35" t="s">
        <v>8</v>
      </c>
      <c r="E35" t="s">
        <v>8</v>
      </c>
      <c r="F35" t="s">
        <v>5</v>
      </c>
    </row>
    <row r="36" spans="1:6" x14ac:dyDescent="0.25">
      <c r="A36" s="10">
        <f t="shared" si="0"/>
        <v>35</v>
      </c>
      <c r="B36" t="s">
        <v>8</v>
      </c>
      <c r="C36" t="s">
        <v>10</v>
      </c>
      <c r="D36" t="s">
        <v>8</v>
      </c>
      <c r="E36" t="s">
        <v>8</v>
      </c>
      <c r="F36" t="s">
        <v>5</v>
      </c>
    </row>
    <row r="37" spans="1:6" x14ac:dyDescent="0.25">
      <c r="A37" s="10">
        <f t="shared" si="0"/>
        <v>36</v>
      </c>
      <c r="B37" t="s">
        <v>8</v>
      </c>
      <c r="C37" t="s">
        <v>10</v>
      </c>
      <c r="D37" t="s">
        <v>8</v>
      </c>
      <c r="E37" t="s">
        <v>8</v>
      </c>
      <c r="F37" t="s">
        <v>5</v>
      </c>
    </row>
    <row r="38" spans="1:6" x14ac:dyDescent="0.25">
      <c r="A38" s="10">
        <f t="shared" si="0"/>
        <v>37</v>
      </c>
      <c r="B38" t="s">
        <v>8</v>
      </c>
      <c r="C38" t="s">
        <v>10</v>
      </c>
      <c r="D38" t="s">
        <v>8</v>
      </c>
      <c r="E38" t="s">
        <v>8</v>
      </c>
      <c r="F38" t="s">
        <v>5</v>
      </c>
    </row>
    <row r="39" spans="1:6" x14ac:dyDescent="0.25">
      <c r="A39" s="10">
        <f t="shared" si="0"/>
        <v>38</v>
      </c>
      <c r="B39" t="s">
        <v>8</v>
      </c>
      <c r="C39" t="s">
        <v>10</v>
      </c>
      <c r="D39" t="s">
        <v>8</v>
      </c>
      <c r="E39" t="s">
        <v>8</v>
      </c>
      <c r="F39" t="s">
        <v>5</v>
      </c>
    </row>
    <row r="40" spans="1:6" x14ac:dyDescent="0.25">
      <c r="A40" s="10">
        <f t="shared" si="0"/>
        <v>39</v>
      </c>
      <c r="B40" t="s">
        <v>8</v>
      </c>
      <c r="C40" t="s">
        <v>10</v>
      </c>
      <c r="D40" t="s">
        <v>8</v>
      </c>
      <c r="E40" t="s">
        <v>8</v>
      </c>
      <c r="F40" t="s">
        <v>5</v>
      </c>
    </row>
    <row r="41" spans="1:6" x14ac:dyDescent="0.25">
      <c r="A41" s="10">
        <f t="shared" si="0"/>
        <v>40</v>
      </c>
      <c r="B41" t="s">
        <v>8</v>
      </c>
      <c r="C41" t="s">
        <v>10</v>
      </c>
      <c r="D41" t="s">
        <v>8</v>
      </c>
      <c r="E41" t="s">
        <v>8</v>
      </c>
      <c r="F41" t="s">
        <v>5</v>
      </c>
    </row>
    <row r="42" spans="1:6" x14ac:dyDescent="0.25">
      <c r="A42" s="10">
        <f t="shared" si="0"/>
        <v>41</v>
      </c>
      <c r="B42" t="s">
        <v>8</v>
      </c>
      <c r="C42" t="s">
        <v>10</v>
      </c>
      <c r="D42" t="s">
        <v>8</v>
      </c>
      <c r="E42" t="s">
        <v>8</v>
      </c>
      <c r="F42" t="s">
        <v>5</v>
      </c>
    </row>
    <row r="43" spans="1:6" x14ac:dyDescent="0.25">
      <c r="A43" s="10">
        <f t="shared" si="0"/>
        <v>42</v>
      </c>
      <c r="B43" t="s">
        <v>8</v>
      </c>
      <c r="C43" t="s">
        <v>10</v>
      </c>
      <c r="D43" t="s">
        <v>8</v>
      </c>
      <c r="E43" t="s">
        <v>8</v>
      </c>
      <c r="F43" t="s">
        <v>5</v>
      </c>
    </row>
    <row r="44" spans="1:6" x14ac:dyDescent="0.25">
      <c r="A44" s="10">
        <f t="shared" si="0"/>
        <v>43</v>
      </c>
      <c r="B44" t="s">
        <v>8</v>
      </c>
      <c r="C44" t="s">
        <v>10</v>
      </c>
      <c r="D44" t="s">
        <v>8</v>
      </c>
      <c r="E44" t="s">
        <v>8</v>
      </c>
      <c r="F44" t="s">
        <v>5</v>
      </c>
    </row>
    <row r="45" spans="1:6" x14ac:dyDescent="0.25">
      <c r="A45" s="10">
        <f t="shared" si="0"/>
        <v>44</v>
      </c>
      <c r="B45" t="s">
        <v>8</v>
      </c>
      <c r="C45" t="s">
        <v>10</v>
      </c>
      <c r="D45" t="s">
        <v>8</v>
      </c>
      <c r="E45" t="s">
        <v>8</v>
      </c>
      <c r="F45" t="s">
        <v>5</v>
      </c>
    </row>
    <row r="46" spans="1:6" x14ac:dyDescent="0.25">
      <c r="A46" s="10">
        <f t="shared" si="0"/>
        <v>45</v>
      </c>
      <c r="B46" t="s">
        <v>8</v>
      </c>
      <c r="C46" t="s">
        <v>10</v>
      </c>
      <c r="D46" t="s">
        <v>8</v>
      </c>
      <c r="E46" t="s">
        <v>8</v>
      </c>
      <c r="F46" t="s">
        <v>5</v>
      </c>
    </row>
    <row r="47" spans="1:6" x14ac:dyDescent="0.25">
      <c r="A47" s="10">
        <f t="shared" si="0"/>
        <v>46</v>
      </c>
      <c r="B47" t="s">
        <v>8</v>
      </c>
      <c r="C47" t="s">
        <v>8</v>
      </c>
      <c r="D47" t="s">
        <v>10</v>
      </c>
      <c r="E47" t="s">
        <v>9</v>
      </c>
      <c r="F47" t="s">
        <v>7</v>
      </c>
    </row>
    <row r="48" spans="1:6" x14ac:dyDescent="0.25">
      <c r="A48" s="10">
        <f t="shared" si="0"/>
        <v>47</v>
      </c>
      <c r="B48" t="s">
        <v>8</v>
      </c>
      <c r="C48" t="s">
        <v>8</v>
      </c>
      <c r="D48" t="s">
        <v>8</v>
      </c>
      <c r="E48" t="s">
        <v>10</v>
      </c>
      <c r="F48" t="s">
        <v>6</v>
      </c>
    </row>
    <row r="49" spans="1:6" x14ac:dyDescent="0.25">
      <c r="A49" s="10">
        <f t="shared" si="0"/>
        <v>48</v>
      </c>
      <c r="B49" t="s">
        <v>8</v>
      </c>
      <c r="C49" t="s">
        <v>8</v>
      </c>
      <c r="D49" t="s">
        <v>10</v>
      </c>
      <c r="E49" t="s">
        <v>10</v>
      </c>
      <c r="F49" t="s">
        <v>6</v>
      </c>
    </row>
    <row r="50" spans="1:6" x14ac:dyDescent="0.25">
      <c r="A50" s="10">
        <f t="shared" si="0"/>
        <v>49</v>
      </c>
      <c r="B50" t="s">
        <v>8</v>
      </c>
      <c r="C50" t="s">
        <v>8</v>
      </c>
      <c r="D50" t="s">
        <v>10</v>
      </c>
      <c r="E50" t="s">
        <v>10</v>
      </c>
      <c r="F50" t="s">
        <v>6</v>
      </c>
    </row>
    <row r="51" spans="1:6" x14ac:dyDescent="0.25">
      <c r="A51" s="10">
        <f t="shared" si="0"/>
        <v>50</v>
      </c>
      <c r="B51" t="s">
        <v>8</v>
      </c>
      <c r="C51" t="s">
        <v>8</v>
      </c>
      <c r="D51" t="s">
        <v>10</v>
      </c>
      <c r="E51" t="s">
        <v>10</v>
      </c>
      <c r="F51" t="s">
        <v>6</v>
      </c>
    </row>
    <row r="52" spans="1:6" x14ac:dyDescent="0.25">
      <c r="A52" s="10">
        <f t="shared" si="0"/>
        <v>51</v>
      </c>
      <c r="B52" t="s">
        <v>8</v>
      </c>
      <c r="C52" t="s">
        <v>8</v>
      </c>
      <c r="D52" t="s">
        <v>10</v>
      </c>
      <c r="E52" t="s">
        <v>10</v>
      </c>
      <c r="F52" t="s">
        <v>6</v>
      </c>
    </row>
    <row r="53" spans="1:6" x14ac:dyDescent="0.25">
      <c r="A53" s="10">
        <f t="shared" si="0"/>
        <v>52</v>
      </c>
      <c r="B53" t="s">
        <v>8</v>
      </c>
      <c r="C53" t="s">
        <v>10</v>
      </c>
      <c r="D53" t="s">
        <v>10</v>
      </c>
      <c r="E53" t="s">
        <v>10</v>
      </c>
      <c r="F53" t="s">
        <v>6</v>
      </c>
    </row>
    <row r="54" spans="1:6" x14ac:dyDescent="0.25">
      <c r="A54" s="10">
        <f t="shared" si="0"/>
        <v>53</v>
      </c>
      <c r="B54" t="s">
        <v>9</v>
      </c>
      <c r="C54" t="s">
        <v>8</v>
      </c>
      <c r="D54" t="s">
        <v>9</v>
      </c>
      <c r="E54" t="s">
        <v>9</v>
      </c>
      <c r="F54" t="s">
        <v>7</v>
      </c>
    </row>
    <row r="55" spans="1:6" x14ac:dyDescent="0.25">
      <c r="A55" s="10">
        <f t="shared" si="0"/>
        <v>54</v>
      </c>
      <c r="B55" t="s">
        <v>9</v>
      </c>
      <c r="C55" t="s">
        <v>8</v>
      </c>
      <c r="D55" t="s">
        <v>9</v>
      </c>
      <c r="E55" t="s">
        <v>9</v>
      </c>
      <c r="F55" t="s">
        <v>7</v>
      </c>
    </row>
    <row r="56" spans="1:6" x14ac:dyDescent="0.25">
      <c r="A56" s="10">
        <f t="shared" si="0"/>
        <v>55</v>
      </c>
      <c r="B56" t="s">
        <v>9</v>
      </c>
      <c r="C56" t="s">
        <v>8</v>
      </c>
      <c r="D56" t="s">
        <v>9</v>
      </c>
      <c r="E56" t="s">
        <v>9</v>
      </c>
      <c r="F56" t="s">
        <v>7</v>
      </c>
    </row>
    <row r="57" spans="1:6" x14ac:dyDescent="0.25">
      <c r="A57" s="10">
        <f t="shared" si="0"/>
        <v>56</v>
      </c>
      <c r="B57" t="s">
        <v>9</v>
      </c>
      <c r="C57" t="s">
        <v>8</v>
      </c>
      <c r="D57" t="s">
        <v>9</v>
      </c>
      <c r="E57" t="s">
        <v>9</v>
      </c>
      <c r="F57" t="s">
        <v>7</v>
      </c>
    </row>
    <row r="58" spans="1:6" x14ac:dyDescent="0.25">
      <c r="A58" s="10">
        <f t="shared" si="0"/>
        <v>57</v>
      </c>
      <c r="B58" t="s">
        <v>9</v>
      </c>
      <c r="C58" t="s">
        <v>8</v>
      </c>
      <c r="D58" t="s">
        <v>9</v>
      </c>
      <c r="E58" t="s">
        <v>9</v>
      </c>
      <c r="F58" t="s">
        <v>7</v>
      </c>
    </row>
    <row r="59" spans="1:6" x14ac:dyDescent="0.25">
      <c r="A59" s="10">
        <f t="shared" si="0"/>
        <v>58</v>
      </c>
      <c r="B59" t="s">
        <v>9</v>
      </c>
      <c r="C59" t="s">
        <v>8</v>
      </c>
      <c r="D59" t="s">
        <v>9</v>
      </c>
      <c r="E59" t="s">
        <v>9</v>
      </c>
      <c r="F59" t="s">
        <v>7</v>
      </c>
    </row>
    <row r="60" spans="1:6" x14ac:dyDescent="0.25">
      <c r="A60" s="10">
        <f t="shared" si="0"/>
        <v>59</v>
      </c>
      <c r="B60" t="s">
        <v>9</v>
      </c>
      <c r="C60" t="s">
        <v>8</v>
      </c>
      <c r="D60" t="s">
        <v>9</v>
      </c>
      <c r="E60" t="s">
        <v>9</v>
      </c>
      <c r="F60" t="s">
        <v>7</v>
      </c>
    </row>
    <row r="61" spans="1:6" x14ac:dyDescent="0.25">
      <c r="A61" s="10">
        <f t="shared" si="0"/>
        <v>60</v>
      </c>
      <c r="B61" t="s">
        <v>9</v>
      </c>
      <c r="C61" t="s">
        <v>8</v>
      </c>
      <c r="D61" t="s">
        <v>9</v>
      </c>
      <c r="E61" t="s">
        <v>9</v>
      </c>
      <c r="F61" t="s">
        <v>7</v>
      </c>
    </row>
    <row r="62" spans="1:6" x14ac:dyDescent="0.25">
      <c r="A62" s="10">
        <f t="shared" si="0"/>
        <v>61</v>
      </c>
      <c r="B62" t="s">
        <v>9</v>
      </c>
      <c r="C62" t="s">
        <v>8</v>
      </c>
      <c r="D62" t="s">
        <v>9</v>
      </c>
      <c r="E62" t="s">
        <v>9</v>
      </c>
      <c r="F62" t="s">
        <v>7</v>
      </c>
    </row>
    <row r="63" spans="1:6" x14ac:dyDescent="0.25">
      <c r="A63" s="10">
        <f t="shared" si="0"/>
        <v>62</v>
      </c>
      <c r="B63" t="s">
        <v>9</v>
      </c>
      <c r="C63" t="s">
        <v>8</v>
      </c>
      <c r="D63" t="s">
        <v>9</v>
      </c>
      <c r="E63" t="s">
        <v>9</v>
      </c>
      <c r="F63" t="s">
        <v>7</v>
      </c>
    </row>
    <row r="64" spans="1:6" x14ac:dyDescent="0.25">
      <c r="A64" s="10">
        <f t="shared" si="0"/>
        <v>63</v>
      </c>
      <c r="B64" t="s">
        <v>9</v>
      </c>
      <c r="C64" t="s">
        <v>8</v>
      </c>
      <c r="D64" t="s">
        <v>9</v>
      </c>
      <c r="E64" t="s">
        <v>9</v>
      </c>
      <c r="F64" t="s">
        <v>7</v>
      </c>
    </row>
    <row r="65" spans="1:6" x14ac:dyDescent="0.25">
      <c r="A65" s="10">
        <f t="shared" si="0"/>
        <v>64</v>
      </c>
      <c r="B65" t="s">
        <v>9</v>
      </c>
      <c r="C65" t="s">
        <v>9</v>
      </c>
      <c r="D65" t="s">
        <v>9</v>
      </c>
      <c r="E65" t="s">
        <v>9</v>
      </c>
      <c r="F65" t="s">
        <v>7</v>
      </c>
    </row>
    <row r="66" spans="1:6" x14ac:dyDescent="0.25">
      <c r="A66" s="10">
        <f t="shared" si="0"/>
        <v>65</v>
      </c>
      <c r="B66" t="s">
        <v>9</v>
      </c>
      <c r="C66" t="s">
        <v>9</v>
      </c>
      <c r="D66" t="s">
        <v>9</v>
      </c>
      <c r="E66" t="s">
        <v>9</v>
      </c>
      <c r="F66" t="s">
        <v>7</v>
      </c>
    </row>
    <row r="67" spans="1:6" x14ac:dyDescent="0.25">
      <c r="A67" s="10">
        <f t="shared" si="0"/>
        <v>66</v>
      </c>
      <c r="B67" t="s">
        <v>9</v>
      </c>
      <c r="C67" t="s">
        <v>9</v>
      </c>
      <c r="D67" t="s">
        <v>9</v>
      </c>
      <c r="E67" t="s">
        <v>9</v>
      </c>
      <c r="F67" t="s">
        <v>7</v>
      </c>
    </row>
    <row r="68" spans="1:6" x14ac:dyDescent="0.25">
      <c r="A68" s="10">
        <f t="shared" ref="A68:A131" si="1">1+A67</f>
        <v>67</v>
      </c>
      <c r="B68" t="s">
        <v>9</v>
      </c>
      <c r="C68" t="s">
        <v>9</v>
      </c>
      <c r="D68" t="s">
        <v>9</v>
      </c>
      <c r="E68" t="s">
        <v>9</v>
      </c>
      <c r="F68" t="s">
        <v>7</v>
      </c>
    </row>
    <row r="69" spans="1:6" x14ac:dyDescent="0.25">
      <c r="A69" s="10">
        <f t="shared" si="1"/>
        <v>68</v>
      </c>
      <c r="B69" t="s">
        <v>9</v>
      </c>
      <c r="C69" t="s">
        <v>9</v>
      </c>
      <c r="D69" t="s">
        <v>9</v>
      </c>
      <c r="E69" t="s">
        <v>9</v>
      </c>
      <c r="F69" t="s">
        <v>7</v>
      </c>
    </row>
    <row r="70" spans="1:6" x14ac:dyDescent="0.25">
      <c r="A70" s="10">
        <f t="shared" si="1"/>
        <v>69</v>
      </c>
      <c r="B70" t="s">
        <v>9</v>
      </c>
      <c r="C70" t="s">
        <v>9</v>
      </c>
      <c r="D70" t="s">
        <v>9</v>
      </c>
      <c r="E70" t="s">
        <v>9</v>
      </c>
      <c r="F70" t="s">
        <v>7</v>
      </c>
    </row>
    <row r="71" spans="1:6" x14ac:dyDescent="0.25">
      <c r="A71" s="10">
        <f t="shared" si="1"/>
        <v>70</v>
      </c>
      <c r="B71" t="s">
        <v>9</v>
      </c>
      <c r="C71" t="s">
        <v>9</v>
      </c>
      <c r="D71" t="s">
        <v>9</v>
      </c>
      <c r="E71" t="s">
        <v>9</v>
      </c>
      <c r="F71" t="s">
        <v>7</v>
      </c>
    </row>
    <row r="72" spans="1:6" x14ac:dyDescent="0.25">
      <c r="A72" s="10">
        <f t="shared" si="1"/>
        <v>71</v>
      </c>
      <c r="B72" t="s">
        <v>9</v>
      </c>
      <c r="C72" t="s">
        <v>9</v>
      </c>
      <c r="D72" t="s">
        <v>10</v>
      </c>
      <c r="E72" t="s">
        <v>9</v>
      </c>
      <c r="F72" t="s">
        <v>6</v>
      </c>
    </row>
    <row r="73" spans="1:6" x14ac:dyDescent="0.25">
      <c r="A73" s="10">
        <f t="shared" si="1"/>
        <v>72</v>
      </c>
      <c r="B73" t="s">
        <v>9</v>
      </c>
      <c r="C73" t="s">
        <v>10</v>
      </c>
      <c r="D73" t="s">
        <v>9</v>
      </c>
      <c r="E73" t="s">
        <v>9</v>
      </c>
      <c r="F73" t="s">
        <v>6</v>
      </c>
    </row>
    <row r="74" spans="1:6" x14ac:dyDescent="0.25">
      <c r="A74" s="10">
        <f t="shared" si="1"/>
        <v>73</v>
      </c>
      <c r="B74" t="s">
        <v>9</v>
      </c>
      <c r="C74" t="s">
        <v>10</v>
      </c>
      <c r="D74" t="s">
        <v>9</v>
      </c>
      <c r="E74" t="s">
        <v>9</v>
      </c>
      <c r="F74" t="s">
        <v>7</v>
      </c>
    </row>
    <row r="75" spans="1:6" x14ac:dyDescent="0.25">
      <c r="A75" s="10">
        <f t="shared" si="1"/>
        <v>74</v>
      </c>
      <c r="B75" t="s">
        <v>9</v>
      </c>
      <c r="C75" t="s">
        <v>10</v>
      </c>
      <c r="D75" t="s">
        <v>9</v>
      </c>
      <c r="E75" t="s">
        <v>9</v>
      </c>
      <c r="F75" t="s">
        <v>7</v>
      </c>
    </row>
    <row r="76" spans="1:6" x14ac:dyDescent="0.25">
      <c r="A76" s="10">
        <f t="shared" si="1"/>
        <v>75</v>
      </c>
      <c r="B76" t="s">
        <v>9</v>
      </c>
      <c r="C76" t="s">
        <v>10</v>
      </c>
      <c r="D76" t="s">
        <v>9</v>
      </c>
      <c r="E76" t="s">
        <v>9</v>
      </c>
      <c r="F76" t="s">
        <v>7</v>
      </c>
    </row>
    <row r="77" spans="1:6" x14ac:dyDescent="0.25">
      <c r="A77" s="10">
        <f t="shared" si="1"/>
        <v>76</v>
      </c>
      <c r="B77" t="s">
        <v>9</v>
      </c>
      <c r="C77" t="s">
        <v>10</v>
      </c>
      <c r="D77" t="s">
        <v>9</v>
      </c>
      <c r="E77" t="s">
        <v>9</v>
      </c>
      <c r="F77" t="s">
        <v>7</v>
      </c>
    </row>
    <row r="78" spans="1:6" x14ac:dyDescent="0.25">
      <c r="A78" s="10">
        <f t="shared" si="1"/>
        <v>77</v>
      </c>
      <c r="B78" t="s">
        <v>9</v>
      </c>
      <c r="C78" t="s">
        <v>10</v>
      </c>
      <c r="D78" t="s">
        <v>9</v>
      </c>
      <c r="E78" t="s">
        <v>9</v>
      </c>
      <c r="F78" t="s">
        <v>7</v>
      </c>
    </row>
    <row r="79" spans="1:6" x14ac:dyDescent="0.25">
      <c r="A79" s="10">
        <f t="shared" si="1"/>
        <v>78</v>
      </c>
      <c r="B79" t="s">
        <v>9</v>
      </c>
      <c r="C79" t="s">
        <v>10</v>
      </c>
      <c r="D79" t="s">
        <v>9</v>
      </c>
      <c r="E79" t="s">
        <v>9</v>
      </c>
      <c r="F79" t="s">
        <v>7</v>
      </c>
    </row>
    <row r="80" spans="1:6" x14ac:dyDescent="0.25">
      <c r="A80" s="10">
        <f t="shared" si="1"/>
        <v>79</v>
      </c>
      <c r="B80" t="s">
        <v>9</v>
      </c>
      <c r="C80" t="s">
        <v>10</v>
      </c>
      <c r="D80" t="s">
        <v>9</v>
      </c>
      <c r="E80" t="s">
        <v>9</v>
      </c>
      <c r="F80" t="s">
        <v>7</v>
      </c>
    </row>
    <row r="81" spans="1:6" x14ac:dyDescent="0.25">
      <c r="A81" s="10">
        <f t="shared" si="1"/>
        <v>80</v>
      </c>
      <c r="B81" t="s">
        <v>9</v>
      </c>
      <c r="C81" t="s">
        <v>10</v>
      </c>
      <c r="D81" t="s">
        <v>9</v>
      </c>
      <c r="E81" t="s">
        <v>9</v>
      </c>
      <c r="F81" t="s">
        <v>7</v>
      </c>
    </row>
    <row r="82" spans="1:6" x14ac:dyDescent="0.25">
      <c r="A82" s="10">
        <f t="shared" si="1"/>
        <v>81</v>
      </c>
      <c r="B82" t="s">
        <v>9</v>
      </c>
      <c r="C82" t="s">
        <v>10</v>
      </c>
      <c r="D82" t="s">
        <v>9</v>
      </c>
      <c r="E82" t="s">
        <v>9</v>
      </c>
      <c r="F82" t="s">
        <v>7</v>
      </c>
    </row>
    <row r="83" spans="1:6" x14ac:dyDescent="0.25">
      <c r="A83" s="10">
        <f t="shared" si="1"/>
        <v>82</v>
      </c>
      <c r="B83" t="s">
        <v>9</v>
      </c>
      <c r="C83" t="s">
        <v>10</v>
      </c>
      <c r="D83" t="s">
        <v>9</v>
      </c>
      <c r="E83" t="s">
        <v>9</v>
      </c>
      <c r="F83" t="s">
        <v>7</v>
      </c>
    </row>
    <row r="84" spans="1:6" x14ac:dyDescent="0.25">
      <c r="A84" s="10">
        <f t="shared" si="1"/>
        <v>83</v>
      </c>
      <c r="B84" t="s">
        <v>9</v>
      </c>
      <c r="C84" t="s">
        <v>10</v>
      </c>
      <c r="D84" t="s">
        <v>9</v>
      </c>
      <c r="E84" t="s">
        <v>9</v>
      </c>
      <c r="F84" t="s">
        <v>7</v>
      </c>
    </row>
    <row r="85" spans="1:6" x14ac:dyDescent="0.25">
      <c r="A85" s="10">
        <f t="shared" si="1"/>
        <v>84</v>
      </c>
      <c r="B85" t="s">
        <v>9</v>
      </c>
      <c r="C85" t="s">
        <v>10</v>
      </c>
      <c r="D85" t="s">
        <v>9</v>
      </c>
      <c r="E85" t="s">
        <v>9</v>
      </c>
      <c r="F85" t="s">
        <v>7</v>
      </c>
    </row>
    <row r="86" spans="1:6" x14ac:dyDescent="0.25">
      <c r="A86" s="10">
        <f t="shared" si="1"/>
        <v>85</v>
      </c>
      <c r="B86" t="s">
        <v>9</v>
      </c>
      <c r="C86" t="s">
        <v>10</v>
      </c>
      <c r="D86" t="s">
        <v>9</v>
      </c>
      <c r="E86" t="s">
        <v>9</v>
      </c>
      <c r="F86" t="s">
        <v>7</v>
      </c>
    </row>
    <row r="87" spans="1:6" x14ac:dyDescent="0.25">
      <c r="A87" s="10">
        <f t="shared" si="1"/>
        <v>86</v>
      </c>
      <c r="B87" t="s">
        <v>9</v>
      </c>
      <c r="C87" t="s">
        <v>10</v>
      </c>
      <c r="D87" t="s">
        <v>9</v>
      </c>
      <c r="E87" t="s">
        <v>9</v>
      </c>
      <c r="F87" t="s">
        <v>7</v>
      </c>
    </row>
    <row r="88" spans="1:6" x14ac:dyDescent="0.25">
      <c r="A88" s="10">
        <f t="shared" si="1"/>
        <v>87</v>
      </c>
      <c r="B88" t="s">
        <v>9</v>
      </c>
      <c r="C88" t="s">
        <v>10</v>
      </c>
      <c r="D88" t="s">
        <v>9</v>
      </c>
      <c r="E88" t="s">
        <v>9</v>
      </c>
      <c r="F88" t="s">
        <v>7</v>
      </c>
    </row>
    <row r="89" spans="1:6" x14ac:dyDescent="0.25">
      <c r="A89" s="10">
        <f t="shared" si="1"/>
        <v>88</v>
      </c>
      <c r="B89" t="s">
        <v>9</v>
      </c>
      <c r="C89" t="s">
        <v>10</v>
      </c>
      <c r="D89" t="s">
        <v>9</v>
      </c>
      <c r="E89" t="s">
        <v>9</v>
      </c>
      <c r="F89" t="s">
        <v>7</v>
      </c>
    </row>
    <row r="90" spans="1:6" x14ac:dyDescent="0.25">
      <c r="A90" s="10">
        <f t="shared" si="1"/>
        <v>89</v>
      </c>
      <c r="B90" t="s">
        <v>9</v>
      </c>
      <c r="C90" t="s">
        <v>10</v>
      </c>
      <c r="D90" t="s">
        <v>9</v>
      </c>
      <c r="E90" t="s">
        <v>9</v>
      </c>
      <c r="F90" t="s">
        <v>7</v>
      </c>
    </row>
    <row r="91" spans="1:6" x14ac:dyDescent="0.25">
      <c r="A91" s="10">
        <f t="shared" si="1"/>
        <v>90</v>
      </c>
      <c r="B91" t="s">
        <v>9</v>
      </c>
      <c r="C91" t="s">
        <v>10</v>
      </c>
      <c r="D91" t="s">
        <v>9</v>
      </c>
      <c r="E91" t="s">
        <v>9</v>
      </c>
      <c r="F91" t="s">
        <v>7</v>
      </c>
    </row>
    <row r="92" spans="1:6" x14ac:dyDescent="0.25">
      <c r="A92" s="10">
        <f t="shared" si="1"/>
        <v>91</v>
      </c>
      <c r="B92" t="s">
        <v>9</v>
      </c>
      <c r="C92" t="s">
        <v>8</v>
      </c>
      <c r="D92" t="s">
        <v>9</v>
      </c>
      <c r="E92" t="s">
        <v>10</v>
      </c>
      <c r="F92" t="s">
        <v>6</v>
      </c>
    </row>
    <row r="93" spans="1:6" x14ac:dyDescent="0.25">
      <c r="A93" s="10">
        <f t="shared" si="1"/>
        <v>92</v>
      </c>
      <c r="B93" t="s">
        <v>9</v>
      </c>
      <c r="C93" t="s">
        <v>8</v>
      </c>
      <c r="D93" t="s">
        <v>9</v>
      </c>
      <c r="E93" t="s">
        <v>10</v>
      </c>
      <c r="F93" t="s">
        <v>7</v>
      </c>
    </row>
    <row r="94" spans="1:6" x14ac:dyDescent="0.25">
      <c r="A94" s="10">
        <f t="shared" si="1"/>
        <v>93</v>
      </c>
      <c r="B94" t="s">
        <v>9</v>
      </c>
      <c r="C94" t="s">
        <v>8</v>
      </c>
      <c r="D94" t="s">
        <v>10</v>
      </c>
      <c r="E94" t="s">
        <v>10</v>
      </c>
      <c r="F94" t="s">
        <v>6</v>
      </c>
    </row>
    <row r="95" spans="1:6" x14ac:dyDescent="0.25">
      <c r="A95" s="10">
        <f t="shared" si="1"/>
        <v>94</v>
      </c>
      <c r="B95" t="s">
        <v>9</v>
      </c>
      <c r="C95" t="s">
        <v>8</v>
      </c>
      <c r="D95" t="s">
        <v>10</v>
      </c>
      <c r="E95" t="s">
        <v>10</v>
      </c>
      <c r="F95" t="s">
        <v>6</v>
      </c>
    </row>
    <row r="96" spans="1:6" x14ac:dyDescent="0.25">
      <c r="A96" s="10">
        <f t="shared" si="1"/>
        <v>95</v>
      </c>
      <c r="B96" t="s">
        <v>9</v>
      </c>
      <c r="C96" t="s">
        <v>8</v>
      </c>
      <c r="D96" t="s">
        <v>10</v>
      </c>
      <c r="E96" t="s">
        <v>10</v>
      </c>
      <c r="F96" t="s">
        <v>6</v>
      </c>
    </row>
    <row r="97" spans="1:6" x14ac:dyDescent="0.25">
      <c r="A97" s="10">
        <f t="shared" si="1"/>
        <v>96</v>
      </c>
      <c r="B97" t="s">
        <v>9</v>
      </c>
      <c r="C97" t="s">
        <v>8</v>
      </c>
      <c r="D97" t="s">
        <v>10</v>
      </c>
      <c r="E97" t="s">
        <v>10</v>
      </c>
      <c r="F97" t="s">
        <v>6</v>
      </c>
    </row>
    <row r="98" spans="1:6" x14ac:dyDescent="0.25">
      <c r="A98" s="10">
        <f t="shared" si="1"/>
        <v>97</v>
      </c>
      <c r="B98" t="s">
        <v>9</v>
      </c>
      <c r="C98" t="s">
        <v>8</v>
      </c>
      <c r="D98" t="s">
        <v>10</v>
      </c>
      <c r="E98" t="s">
        <v>10</v>
      </c>
      <c r="F98" t="s">
        <v>6</v>
      </c>
    </row>
    <row r="99" spans="1:6" x14ac:dyDescent="0.25">
      <c r="A99" s="10">
        <f t="shared" si="1"/>
        <v>98</v>
      </c>
      <c r="B99" t="s">
        <v>9</v>
      </c>
      <c r="C99" t="s">
        <v>10</v>
      </c>
      <c r="D99" t="s">
        <v>9</v>
      </c>
      <c r="E99" t="s">
        <v>10</v>
      </c>
      <c r="F99" t="s">
        <v>6</v>
      </c>
    </row>
    <row r="100" spans="1:6" x14ac:dyDescent="0.25">
      <c r="A100" s="10">
        <f t="shared" si="1"/>
        <v>99</v>
      </c>
      <c r="B100" t="s">
        <v>9</v>
      </c>
      <c r="C100" t="s">
        <v>10</v>
      </c>
      <c r="D100" t="s">
        <v>10</v>
      </c>
      <c r="E100" t="s">
        <v>10</v>
      </c>
      <c r="F100" t="s">
        <v>6</v>
      </c>
    </row>
    <row r="101" spans="1:6" x14ac:dyDescent="0.25">
      <c r="A101" s="10">
        <f t="shared" si="1"/>
        <v>100</v>
      </c>
      <c r="B101" t="s">
        <v>9</v>
      </c>
      <c r="C101" t="s">
        <v>10</v>
      </c>
      <c r="D101" t="s">
        <v>10</v>
      </c>
      <c r="E101" t="s">
        <v>10</v>
      </c>
      <c r="F101" t="s">
        <v>6</v>
      </c>
    </row>
    <row r="102" spans="1:6" x14ac:dyDescent="0.25">
      <c r="A102" s="10">
        <f t="shared" si="1"/>
        <v>101</v>
      </c>
      <c r="B102" t="s">
        <v>9</v>
      </c>
      <c r="C102" t="s">
        <v>10</v>
      </c>
      <c r="D102" t="s">
        <v>10</v>
      </c>
      <c r="E102" t="s">
        <v>10</v>
      </c>
      <c r="F102" t="s">
        <v>6</v>
      </c>
    </row>
    <row r="103" spans="1:6" x14ac:dyDescent="0.25">
      <c r="A103" s="10">
        <f t="shared" si="1"/>
        <v>102</v>
      </c>
      <c r="B103" t="s">
        <v>9</v>
      </c>
      <c r="C103" t="s">
        <v>10</v>
      </c>
      <c r="D103" t="s">
        <v>10</v>
      </c>
      <c r="E103" t="s">
        <v>10</v>
      </c>
      <c r="F103" t="s">
        <v>6</v>
      </c>
    </row>
    <row r="104" spans="1:6" x14ac:dyDescent="0.25">
      <c r="A104" s="10">
        <f t="shared" si="1"/>
        <v>103</v>
      </c>
      <c r="B104" t="s">
        <v>9</v>
      </c>
      <c r="C104" t="s">
        <v>10</v>
      </c>
      <c r="D104" t="s">
        <v>10</v>
      </c>
      <c r="E104" t="s">
        <v>10</v>
      </c>
      <c r="F104" t="s">
        <v>6</v>
      </c>
    </row>
    <row r="105" spans="1:6" x14ac:dyDescent="0.25">
      <c r="A105" s="10">
        <f t="shared" si="1"/>
        <v>104</v>
      </c>
      <c r="B105" t="s">
        <v>10</v>
      </c>
      <c r="C105" t="s">
        <v>9</v>
      </c>
      <c r="D105" t="s">
        <v>8</v>
      </c>
      <c r="E105" t="s">
        <v>8</v>
      </c>
      <c r="F105" t="s">
        <v>5</v>
      </c>
    </row>
    <row r="106" spans="1:6" x14ac:dyDescent="0.25">
      <c r="A106" s="10">
        <f t="shared" si="1"/>
        <v>105</v>
      </c>
      <c r="B106" t="s">
        <v>10</v>
      </c>
      <c r="C106" t="s">
        <v>9</v>
      </c>
      <c r="D106" t="s">
        <v>8</v>
      </c>
      <c r="E106" t="s">
        <v>8</v>
      </c>
      <c r="F106" t="s">
        <v>5</v>
      </c>
    </row>
    <row r="107" spans="1:6" x14ac:dyDescent="0.25">
      <c r="A107" s="10">
        <f t="shared" si="1"/>
        <v>106</v>
      </c>
      <c r="B107" t="s">
        <v>10</v>
      </c>
      <c r="C107" t="s">
        <v>9</v>
      </c>
      <c r="D107" t="s">
        <v>8</v>
      </c>
      <c r="E107" t="s">
        <v>8</v>
      </c>
      <c r="F107" t="s">
        <v>5</v>
      </c>
    </row>
    <row r="108" spans="1:6" x14ac:dyDescent="0.25">
      <c r="A108" s="10">
        <f t="shared" si="1"/>
        <v>107</v>
      </c>
      <c r="B108" t="s">
        <v>10</v>
      </c>
      <c r="C108" t="s">
        <v>9</v>
      </c>
      <c r="D108" t="s">
        <v>8</v>
      </c>
      <c r="E108" t="s">
        <v>8</v>
      </c>
      <c r="F108" t="s">
        <v>5</v>
      </c>
    </row>
    <row r="109" spans="1:6" x14ac:dyDescent="0.25">
      <c r="A109" s="10">
        <f t="shared" si="1"/>
        <v>108</v>
      </c>
      <c r="B109" t="s">
        <v>10</v>
      </c>
      <c r="C109" t="s">
        <v>9</v>
      </c>
      <c r="D109" t="s">
        <v>8</v>
      </c>
      <c r="E109" t="s">
        <v>8</v>
      </c>
      <c r="F109" t="s">
        <v>5</v>
      </c>
    </row>
    <row r="110" spans="1:6" x14ac:dyDescent="0.25">
      <c r="A110" s="10">
        <f t="shared" si="1"/>
        <v>109</v>
      </c>
      <c r="B110" t="s">
        <v>10</v>
      </c>
      <c r="C110" t="s">
        <v>8</v>
      </c>
      <c r="D110" t="s">
        <v>9</v>
      </c>
      <c r="E110" t="s">
        <v>9</v>
      </c>
      <c r="F110" t="s">
        <v>6</v>
      </c>
    </row>
    <row r="111" spans="1:6" x14ac:dyDescent="0.25">
      <c r="A111" s="10">
        <f t="shared" si="1"/>
        <v>110</v>
      </c>
      <c r="B111" t="s">
        <v>10</v>
      </c>
      <c r="C111" t="s">
        <v>8</v>
      </c>
      <c r="D111" t="s">
        <v>9</v>
      </c>
      <c r="E111" t="s">
        <v>9</v>
      </c>
      <c r="F111" t="s">
        <v>7</v>
      </c>
    </row>
    <row r="112" spans="1:6" x14ac:dyDescent="0.25">
      <c r="A112" s="10">
        <f t="shared" si="1"/>
        <v>111</v>
      </c>
      <c r="B112" t="s">
        <v>10</v>
      </c>
      <c r="C112" t="s">
        <v>8</v>
      </c>
      <c r="D112" t="s">
        <v>9</v>
      </c>
      <c r="E112" t="s">
        <v>9</v>
      </c>
      <c r="F112" t="s">
        <v>7</v>
      </c>
    </row>
    <row r="113" spans="1:6" x14ac:dyDescent="0.25">
      <c r="A113" s="10">
        <f t="shared" si="1"/>
        <v>112</v>
      </c>
      <c r="B113" t="s">
        <v>10</v>
      </c>
      <c r="C113" t="s">
        <v>8</v>
      </c>
      <c r="D113" t="s">
        <v>9</v>
      </c>
      <c r="E113" t="s">
        <v>9</v>
      </c>
      <c r="F113" t="s">
        <v>7</v>
      </c>
    </row>
    <row r="114" spans="1:6" x14ac:dyDescent="0.25">
      <c r="A114" s="10">
        <f t="shared" si="1"/>
        <v>113</v>
      </c>
      <c r="B114" t="s">
        <v>10</v>
      </c>
      <c r="C114" t="s">
        <v>8</v>
      </c>
      <c r="D114" t="s">
        <v>9</v>
      </c>
      <c r="E114" t="s">
        <v>9</v>
      </c>
      <c r="F114" t="s">
        <v>7</v>
      </c>
    </row>
    <row r="115" spans="1:6" x14ac:dyDescent="0.25">
      <c r="A115" s="10">
        <f t="shared" si="1"/>
        <v>114</v>
      </c>
      <c r="B115" t="s">
        <v>10</v>
      </c>
      <c r="C115" t="s">
        <v>8</v>
      </c>
      <c r="D115" t="s">
        <v>9</v>
      </c>
      <c r="E115" t="s">
        <v>9</v>
      </c>
      <c r="F115" t="s">
        <v>7</v>
      </c>
    </row>
    <row r="116" spans="1:6" x14ac:dyDescent="0.25">
      <c r="A116" s="10">
        <f t="shared" si="1"/>
        <v>115</v>
      </c>
      <c r="B116" t="s">
        <v>10</v>
      </c>
      <c r="C116" t="s">
        <v>8</v>
      </c>
      <c r="D116" t="s">
        <v>10</v>
      </c>
      <c r="E116" t="s">
        <v>9</v>
      </c>
      <c r="F116" t="s">
        <v>7</v>
      </c>
    </row>
    <row r="117" spans="1:6" x14ac:dyDescent="0.25">
      <c r="A117" s="10">
        <f t="shared" si="1"/>
        <v>116</v>
      </c>
      <c r="B117" t="s">
        <v>10</v>
      </c>
      <c r="C117" t="s">
        <v>9</v>
      </c>
      <c r="D117" t="s">
        <v>9</v>
      </c>
      <c r="E117" t="s">
        <v>9</v>
      </c>
      <c r="F117" t="s">
        <v>7</v>
      </c>
    </row>
    <row r="118" spans="1:6" x14ac:dyDescent="0.25">
      <c r="A118" s="10">
        <f t="shared" si="1"/>
        <v>117</v>
      </c>
      <c r="B118" t="s">
        <v>10</v>
      </c>
      <c r="C118" t="s">
        <v>9</v>
      </c>
      <c r="D118" t="s">
        <v>10</v>
      </c>
      <c r="E118" t="s">
        <v>9</v>
      </c>
      <c r="F118" t="s">
        <v>6</v>
      </c>
    </row>
    <row r="119" spans="1:6" x14ac:dyDescent="0.25">
      <c r="A119" s="10">
        <f t="shared" si="1"/>
        <v>118</v>
      </c>
      <c r="B119" t="s">
        <v>10</v>
      </c>
      <c r="C119" t="s">
        <v>10</v>
      </c>
      <c r="D119" t="s">
        <v>9</v>
      </c>
      <c r="E119" t="s">
        <v>9</v>
      </c>
      <c r="F119" t="s">
        <v>7</v>
      </c>
    </row>
    <row r="120" spans="1:6" x14ac:dyDescent="0.25">
      <c r="A120" s="10">
        <f t="shared" si="1"/>
        <v>119</v>
      </c>
      <c r="B120" t="s">
        <v>10</v>
      </c>
      <c r="C120" t="s">
        <v>10</v>
      </c>
      <c r="D120" t="s">
        <v>9</v>
      </c>
      <c r="E120" t="s">
        <v>9</v>
      </c>
      <c r="F120" t="s">
        <v>7</v>
      </c>
    </row>
    <row r="121" spans="1:6" x14ac:dyDescent="0.25">
      <c r="A121" s="10">
        <f t="shared" si="1"/>
        <v>120</v>
      </c>
      <c r="B121" t="s">
        <v>10</v>
      </c>
      <c r="C121" t="s">
        <v>10</v>
      </c>
      <c r="D121" t="s">
        <v>10</v>
      </c>
      <c r="E121" t="s">
        <v>9</v>
      </c>
      <c r="F121" t="s">
        <v>6</v>
      </c>
    </row>
    <row r="122" spans="1:6" x14ac:dyDescent="0.25">
      <c r="A122" s="10">
        <f t="shared" si="1"/>
        <v>121</v>
      </c>
      <c r="B122" t="s">
        <v>10</v>
      </c>
      <c r="C122" t="s">
        <v>10</v>
      </c>
      <c r="D122" t="s">
        <v>10</v>
      </c>
      <c r="E122" t="s">
        <v>9</v>
      </c>
      <c r="F122" t="s">
        <v>7</v>
      </c>
    </row>
    <row r="123" spans="1:6" x14ac:dyDescent="0.25">
      <c r="A123" s="10">
        <f t="shared" si="1"/>
        <v>122</v>
      </c>
      <c r="B123" t="s">
        <v>10</v>
      </c>
      <c r="C123" t="s">
        <v>8</v>
      </c>
      <c r="D123" t="s">
        <v>9</v>
      </c>
      <c r="E123" t="s">
        <v>10</v>
      </c>
      <c r="F123" t="s">
        <v>7</v>
      </c>
    </row>
    <row r="124" spans="1:6" x14ac:dyDescent="0.25">
      <c r="A124" s="10">
        <f t="shared" si="1"/>
        <v>123</v>
      </c>
      <c r="B124" t="s">
        <v>10</v>
      </c>
      <c r="C124" t="s">
        <v>8</v>
      </c>
      <c r="D124" t="s">
        <v>9</v>
      </c>
      <c r="E124" t="s">
        <v>10</v>
      </c>
      <c r="F124" t="s">
        <v>7</v>
      </c>
    </row>
    <row r="125" spans="1:6" x14ac:dyDescent="0.25">
      <c r="A125" s="10">
        <f t="shared" si="1"/>
        <v>124</v>
      </c>
      <c r="B125" t="s">
        <v>10</v>
      </c>
      <c r="C125" t="s">
        <v>8</v>
      </c>
      <c r="D125" t="s">
        <v>10</v>
      </c>
      <c r="E125" t="s">
        <v>10</v>
      </c>
      <c r="F125" t="s">
        <v>6</v>
      </c>
    </row>
    <row r="126" spans="1:6" x14ac:dyDescent="0.25">
      <c r="A126" s="10">
        <f t="shared" si="1"/>
        <v>125</v>
      </c>
      <c r="B126" t="s">
        <v>10</v>
      </c>
      <c r="C126" t="s">
        <v>8</v>
      </c>
      <c r="D126" t="s">
        <v>10</v>
      </c>
      <c r="E126" t="s">
        <v>10</v>
      </c>
      <c r="F126" t="s">
        <v>6</v>
      </c>
    </row>
    <row r="127" spans="1:6" x14ac:dyDescent="0.25">
      <c r="A127" s="10">
        <f t="shared" si="1"/>
        <v>126</v>
      </c>
      <c r="B127" t="s">
        <v>10</v>
      </c>
      <c r="C127" t="s">
        <v>8</v>
      </c>
      <c r="D127" t="s">
        <v>10</v>
      </c>
      <c r="E127" t="s">
        <v>10</v>
      </c>
      <c r="F127" t="s">
        <v>6</v>
      </c>
    </row>
    <row r="128" spans="1:6" x14ac:dyDescent="0.25">
      <c r="A128" s="10">
        <f t="shared" si="1"/>
        <v>127</v>
      </c>
      <c r="B128" t="s">
        <v>10</v>
      </c>
      <c r="C128" t="s">
        <v>8</v>
      </c>
      <c r="D128" t="s">
        <v>10</v>
      </c>
      <c r="E128" t="s">
        <v>10</v>
      </c>
      <c r="F128" t="s">
        <v>6</v>
      </c>
    </row>
    <row r="129" spans="1:6" x14ac:dyDescent="0.25">
      <c r="A129" s="10">
        <f t="shared" si="1"/>
        <v>128</v>
      </c>
      <c r="B129" t="s">
        <v>10</v>
      </c>
      <c r="C129" t="s">
        <v>8</v>
      </c>
      <c r="D129" t="s">
        <v>10</v>
      </c>
      <c r="E129" t="s">
        <v>10</v>
      </c>
      <c r="F129" t="s">
        <v>6</v>
      </c>
    </row>
    <row r="130" spans="1:6" x14ac:dyDescent="0.25">
      <c r="A130" s="10">
        <f t="shared" si="1"/>
        <v>129</v>
      </c>
      <c r="B130" t="s">
        <v>10</v>
      </c>
      <c r="C130" t="s">
        <v>8</v>
      </c>
      <c r="D130" t="s">
        <v>10</v>
      </c>
      <c r="E130" t="s">
        <v>10</v>
      </c>
      <c r="F130" t="s">
        <v>6</v>
      </c>
    </row>
    <row r="131" spans="1:6" x14ac:dyDescent="0.25">
      <c r="A131" s="10">
        <f t="shared" si="1"/>
        <v>130</v>
      </c>
      <c r="B131" t="s">
        <v>10</v>
      </c>
      <c r="C131" t="s">
        <v>8</v>
      </c>
      <c r="D131" t="s">
        <v>10</v>
      </c>
      <c r="E131" t="s">
        <v>10</v>
      </c>
      <c r="F131" t="s">
        <v>6</v>
      </c>
    </row>
    <row r="132" spans="1:6" x14ac:dyDescent="0.25">
      <c r="A132" s="10">
        <f t="shared" ref="A132:A151" si="2">1+A131</f>
        <v>131</v>
      </c>
      <c r="B132" t="s">
        <v>10</v>
      </c>
      <c r="C132" t="s">
        <v>8</v>
      </c>
      <c r="D132" t="s">
        <v>10</v>
      </c>
      <c r="E132" t="s">
        <v>10</v>
      </c>
      <c r="F132" t="s">
        <v>6</v>
      </c>
    </row>
    <row r="133" spans="1:6" x14ac:dyDescent="0.25">
      <c r="A133" s="10">
        <f t="shared" si="2"/>
        <v>132</v>
      </c>
      <c r="B133" t="s">
        <v>10</v>
      </c>
      <c r="C133" t="s">
        <v>8</v>
      </c>
      <c r="D133" t="s">
        <v>10</v>
      </c>
      <c r="E133" t="s">
        <v>10</v>
      </c>
      <c r="F133" t="s">
        <v>6</v>
      </c>
    </row>
    <row r="134" spans="1:6" x14ac:dyDescent="0.25">
      <c r="A134" s="10">
        <f t="shared" si="2"/>
        <v>133</v>
      </c>
      <c r="B134" t="s">
        <v>10</v>
      </c>
      <c r="C134" t="s">
        <v>8</v>
      </c>
      <c r="D134" t="s">
        <v>10</v>
      </c>
      <c r="E134" t="s">
        <v>10</v>
      </c>
      <c r="F134" t="s">
        <v>6</v>
      </c>
    </row>
    <row r="135" spans="1:6" x14ac:dyDescent="0.25">
      <c r="A135" s="10">
        <f t="shared" si="2"/>
        <v>134</v>
      </c>
      <c r="B135" t="s">
        <v>10</v>
      </c>
      <c r="C135" t="s">
        <v>8</v>
      </c>
      <c r="D135" t="s">
        <v>10</v>
      </c>
      <c r="E135" t="s">
        <v>10</v>
      </c>
      <c r="F135" t="s">
        <v>6</v>
      </c>
    </row>
    <row r="136" spans="1:6" x14ac:dyDescent="0.25">
      <c r="A136" s="10">
        <f t="shared" si="2"/>
        <v>135</v>
      </c>
      <c r="B136" t="s">
        <v>10</v>
      </c>
      <c r="C136" t="s">
        <v>8</v>
      </c>
      <c r="D136" t="s">
        <v>10</v>
      </c>
      <c r="E136" t="s">
        <v>10</v>
      </c>
      <c r="F136" t="s">
        <v>6</v>
      </c>
    </row>
    <row r="137" spans="1:6" x14ac:dyDescent="0.25">
      <c r="A137" s="10">
        <f t="shared" si="2"/>
        <v>136</v>
      </c>
      <c r="B137" t="s">
        <v>10</v>
      </c>
      <c r="C137" t="s">
        <v>8</v>
      </c>
      <c r="D137" t="s">
        <v>10</v>
      </c>
      <c r="E137" t="s">
        <v>10</v>
      </c>
      <c r="F137" t="s">
        <v>6</v>
      </c>
    </row>
    <row r="138" spans="1:6" x14ac:dyDescent="0.25">
      <c r="A138" s="10">
        <f t="shared" si="2"/>
        <v>137</v>
      </c>
      <c r="B138" t="s">
        <v>10</v>
      </c>
      <c r="C138" t="s">
        <v>8</v>
      </c>
      <c r="D138" t="s">
        <v>10</v>
      </c>
      <c r="E138" t="s">
        <v>10</v>
      </c>
      <c r="F138" t="s">
        <v>6</v>
      </c>
    </row>
    <row r="139" spans="1:6" x14ac:dyDescent="0.25">
      <c r="A139" s="10">
        <f t="shared" si="2"/>
        <v>138</v>
      </c>
      <c r="B139" t="s">
        <v>10</v>
      </c>
      <c r="C139" t="s">
        <v>8</v>
      </c>
      <c r="D139" t="s">
        <v>10</v>
      </c>
      <c r="E139" t="s">
        <v>10</v>
      </c>
      <c r="F139" t="s">
        <v>6</v>
      </c>
    </row>
    <row r="140" spans="1:6" x14ac:dyDescent="0.25">
      <c r="A140" s="10">
        <f t="shared" si="2"/>
        <v>139</v>
      </c>
      <c r="B140" t="s">
        <v>10</v>
      </c>
      <c r="C140" t="s">
        <v>8</v>
      </c>
      <c r="D140" t="s">
        <v>10</v>
      </c>
      <c r="E140" t="s">
        <v>10</v>
      </c>
      <c r="F140" t="s">
        <v>6</v>
      </c>
    </row>
    <row r="141" spans="1:6" x14ac:dyDescent="0.25">
      <c r="A141" s="10">
        <f t="shared" si="2"/>
        <v>140</v>
      </c>
      <c r="B141" t="s">
        <v>10</v>
      </c>
      <c r="C141" t="s">
        <v>8</v>
      </c>
      <c r="D141" t="s">
        <v>10</v>
      </c>
      <c r="E141" t="s">
        <v>10</v>
      </c>
      <c r="F141" t="s">
        <v>6</v>
      </c>
    </row>
    <row r="142" spans="1:6" x14ac:dyDescent="0.25">
      <c r="A142" s="10">
        <f t="shared" si="2"/>
        <v>141</v>
      </c>
      <c r="B142" t="s">
        <v>10</v>
      </c>
      <c r="C142" t="s">
        <v>8</v>
      </c>
      <c r="D142" t="s">
        <v>10</v>
      </c>
      <c r="E142" t="s">
        <v>10</v>
      </c>
      <c r="F142" t="s">
        <v>6</v>
      </c>
    </row>
    <row r="143" spans="1:6" x14ac:dyDescent="0.25">
      <c r="A143" s="10">
        <f t="shared" si="2"/>
        <v>142</v>
      </c>
      <c r="B143" t="s">
        <v>10</v>
      </c>
      <c r="C143" t="s">
        <v>8</v>
      </c>
      <c r="D143" t="s">
        <v>10</v>
      </c>
      <c r="E143" t="s">
        <v>10</v>
      </c>
      <c r="F143" t="s">
        <v>6</v>
      </c>
    </row>
    <row r="144" spans="1:6" x14ac:dyDescent="0.25">
      <c r="A144" s="10">
        <f t="shared" si="2"/>
        <v>143</v>
      </c>
      <c r="B144" t="s">
        <v>10</v>
      </c>
      <c r="C144" t="s">
        <v>8</v>
      </c>
      <c r="D144" t="s">
        <v>10</v>
      </c>
      <c r="E144" t="s">
        <v>10</v>
      </c>
      <c r="F144" t="s">
        <v>6</v>
      </c>
    </row>
    <row r="145" spans="1:29" x14ac:dyDescent="0.25">
      <c r="A145" s="10">
        <f t="shared" si="2"/>
        <v>144</v>
      </c>
      <c r="B145" t="s">
        <v>10</v>
      </c>
      <c r="C145" t="s">
        <v>8</v>
      </c>
      <c r="D145" t="s">
        <v>10</v>
      </c>
      <c r="E145" t="s">
        <v>10</v>
      </c>
      <c r="F145" t="s">
        <v>6</v>
      </c>
    </row>
    <row r="146" spans="1:29" x14ac:dyDescent="0.25">
      <c r="A146" s="10">
        <f t="shared" si="2"/>
        <v>145</v>
      </c>
      <c r="B146" t="s">
        <v>10</v>
      </c>
      <c r="C146" t="s">
        <v>8</v>
      </c>
      <c r="D146" t="s">
        <v>10</v>
      </c>
      <c r="E146" t="s">
        <v>10</v>
      </c>
      <c r="F146" t="s">
        <v>6</v>
      </c>
    </row>
    <row r="147" spans="1:29" x14ac:dyDescent="0.25">
      <c r="A147" s="10">
        <f t="shared" si="2"/>
        <v>146</v>
      </c>
      <c r="B147" t="s">
        <v>10</v>
      </c>
      <c r="C147" t="s">
        <v>10</v>
      </c>
      <c r="D147" t="s">
        <v>10</v>
      </c>
      <c r="E147" t="s">
        <v>10</v>
      </c>
      <c r="F147" t="s">
        <v>6</v>
      </c>
    </row>
    <row r="148" spans="1:29" x14ac:dyDescent="0.25">
      <c r="A148" s="10">
        <f t="shared" si="2"/>
        <v>147</v>
      </c>
      <c r="B148" t="s">
        <v>10</v>
      </c>
      <c r="C148" t="s">
        <v>10</v>
      </c>
      <c r="D148" t="s">
        <v>10</v>
      </c>
      <c r="E148" t="s">
        <v>10</v>
      </c>
      <c r="F148" t="s">
        <v>6</v>
      </c>
    </row>
    <row r="149" spans="1:29" ht="26.25" x14ac:dyDescent="0.25">
      <c r="A149" s="10">
        <f t="shared" si="2"/>
        <v>148</v>
      </c>
      <c r="B149" t="s">
        <v>10</v>
      </c>
      <c r="C149" t="s">
        <v>10</v>
      </c>
      <c r="D149" t="s">
        <v>10</v>
      </c>
      <c r="E149" t="s">
        <v>10</v>
      </c>
      <c r="F149" t="s">
        <v>6</v>
      </c>
      <c r="J149" s="84"/>
    </row>
    <row r="150" spans="1:29" x14ac:dyDescent="0.25">
      <c r="A150" s="10">
        <f t="shared" si="2"/>
        <v>149</v>
      </c>
      <c r="B150" t="s">
        <v>10</v>
      </c>
      <c r="C150" t="s">
        <v>10</v>
      </c>
      <c r="D150" t="s">
        <v>10</v>
      </c>
      <c r="E150" t="s">
        <v>10</v>
      </c>
      <c r="F150" t="s">
        <v>6</v>
      </c>
    </row>
    <row r="151" spans="1:29" x14ac:dyDescent="0.25">
      <c r="A151" s="10">
        <f t="shared" si="2"/>
        <v>150</v>
      </c>
      <c r="B151" t="s">
        <v>10</v>
      </c>
      <c r="C151" t="s">
        <v>10</v>
      </c>
      <c r="D151" t="s">
        <v>10</v>
      </c>
      <c r="E151" t="s">
        <v>10</v>
      </c>
      <c r="F151" s="1" t="s">
        <v>6</v>
      </c>
      <c r="J151" t="s">
        <v>11</v>
      </c>
      <c r="M151" s="85" t="s">
        <v>12</v>
      </c>
    </row>
    <row r="152" spans="1:29" x14ac:dyDescent="0.25">
      <c r="J152" s="16" t="s">
        <v>13</v>
      </c>
      <c r="K152" s="17">
        <v>150</v>
      </c>
      <c r="L152" s="18"/>
      <c r="M152" s="19" t="s">
        <v>14</v>
      </c>
    </row>
    <row r="153" spans="1:29" x14ac:dyDescent="0.25">
      <c r="J153" s="5" t="s">
        <v>15</v>
      </c>
      <c r="K153" s="9">
        <v>50</v>
      </c>
      <c r="L153" s="2" t="s">
        <v>16</v>
      </c>
      <c r="M153" s="3">
        <f>K153/$K$152</f>
        <v>0.33333333333333331</v>
      </c>
    </row>
    <row r="154" spans="1:29" x14ac:dyDescent="0.25">
      <c r="J154" s="6" t="s">
        <v>17</v>
      </c>
      <c r="K154" s="11">
        <v>50</v>
      </c>
      <c r="L154" s="3" t="s">
        <v>18</v>
      </c>
      <c r="M154" s="3">
        <f t="shared" ref="M154:M155" si="3">K154/$K$152</f>
        <v>0.33333333333333331</v>
      </c>
    </row>
    <row r="155" spans="1:29" x14ac:dyDescent="0.25">
      <c r="J155" s="7" t="s">
        <v>19</v>
      </c>
      <c r="K155" s="13">
        <v>50</v>
      </c>
      <c r="L155" s="4" t="s">
        <v>20</v>
      </c>
      <c r="M155" s="4">
        <f t="shared" si="3"/>
        <v>0.33333333333333331</v>
      </c>
    </row>
    <row r="156" spans="1:29" x14ac:dyDescent="0.25">
      <c r="P156" t="s">
        <v>21</v>
      </c>
    </row>
    <row r="157" spans="1:29" x14ac:dyDescent="0.25">
      <c r="J157" t="s">
        <v>22</v>
      </c>
      <c r="P157" s="86" t="s">
        <v>23</v>
      </c>
      <c r="Q157" t="s">
        <v>24</v>
      </c>
      <c r="R157" t="s">
        <v>25</v>
      </c>
      <c r="W157" s="5" t="s">
        <v>26</v>
      </c>
      <c r="X157" s="47"/>
      <c r="Y157" s="47"/>
      <c r="Z157" s="47"/>
      <c r="AA157" s="8"/>
      <c r="AB157" s="47"/>
      <c r="AC157" s="48"/>
    </row>
    <row r="158" spans="1:29" x14ac:dyDescent="0.25">
      <c r="J158" s="20" t="s">
        <v>0</v>
      </c>
      <c r="K158" s="21"/>
      <c r="L158" s="22" t="s">
        <v>27</v>
      </c>
      <c r="M158" s="22" t="s">
        <v>28</v>
      </c>
      <c r="N158" s="23" t="s">
        <v>29</v>
      </c>
      <c r="P158" s="24" t="s">
        <v>27</v>
      </c>
      <c r="Q158" s="22" t="s">
        <v>28</v>
      </c>
      <c r="R158" s="23" t="s">
        <v>29</v>
      </c>
      <c r="T158" s="45" t="s">
        <v>30</v>
      </c>
      <c r="U158" s="45"/>
      <c r="V158" s="45"/>
      <c r="W158" s="6"/>
      <c r="AA158" s="10"/>
      <c r="AC158" s="49"/>
    </row>
    <row r="159" spans="1:29" x14ac:dyDescent="0.25">
      <c r="J159" s="30" t="s">
        <v>4</v>
      </c>
      <c r="K159" s="31" t="s">
        <v>15</v>
      </c>
      <c r="L159" s="8">
        <v>45</v>
      </c>
      <c r="M159" s="8">
        <f>5</f>
        <v>5</v>
      </c>
      <c r="N159" s="9">
        <v>0</v>
      </c>
      <c r="P159" s="14">
        <f>L159/SUM(L159:N159)</f>
        <v>0.9</v>
      </c>
      <c r="Q159" s="10">
        <f>M159/SUM(L159:N159)</f>
        <v>0.1</v>
      </c>
      <c r="R159" s="11">
        <f>N159/SUM(L159:N159)</f>
        <v>0</v>
      </c>
      <c r="T159" s="73" t="s">
        <v>31</v>
      </c>
      <c r="W159" s="15" t="s">
        <v>12</v>
      </c>
      <c r="X159" s="12" t="s">
        <v>32</v>
      </c>
      <c r="Y159" s="12" t="s">
        <v>33</v>
      </c>
      <c r="Z159" s="12" t="s">
        <v>34</v>
      </c>
      <c r="AA159" s="12" t="s">
        <v>35</v>
      </c>
      <c r="AB159" s="50"/>
      <c r="AC159" s="51"/>
    </row>
    <row r="160" spans="1:29" x14ac:dyDescent="0.25">
      <c r="J160" s="30"/>
      <c r="K160" s="32" t="s">
        <v>17</v>
      </c>
      <c r="L160" s="10">
        <f>6</f>
        <v>6</v>
      </c>
      <c r="M160" s="10">
        <v>30</v>
      </c>
      <c r="N160" s="11">
        <v>14</v>
      </c>
      <c r="P160" s="14">
        <f t="shared" ref="P160:P161" si="4">L160/SUM(L160:N160)</f>
        <v>0.12</v>
      </c>
      <c r="Q160" s="10">
        <f t="shared" ref="Q160:Q161" si="5">M160/SUM(L160:N160)</f>
        <v>0.6</v>
      </c>
      <c r="R160" s="11">
        <f t="shared" ref="R160:R161" si="6">N160/SUM(L160:N160)</f>
        <v>0.28000000000000003</v>
      </c>
      <c r="W160" s="46" t="s">
        <v>36</v>
      </c>
      <c r="X160" s="46" t="s">
        <v>0</v>
      </c>
      <c r="Y160" s="46" t="s">
        <v>1</v>
      </c>
      <c r="Z160" s="46" t="s">
        <v>2</v>
      </c>
      <c r="AA160" s="46" t="s">
        <v>3</v>
      </c>
      <c r="AB160" s="52"/>
      <c r="AC160" s="52"/>
    </row>
    <row r="161" spans="10:29" x14ac:dyDescent="0.25">
      <c r="J161" s="33"/>
      <c r="K161" s="34" t="s">
        <v>19</v>
      </c>
      <c r="L161" s="12">
        <f>1</f>
        <v>1</v>
      </c>
      <c r="M161" s="12">
        <v>12</v>
      </c>
      <c r="N161" s="13">
        <v>37</v>
      </c>
      <c r="P161" s="15">
        <f t="shared" si="4"/>
        <v>0.02</v>
      </c>
      <c r="Q161" s="12">
        <f t="shared" si="5"/>
        <v>0.24</v>
      </c>
      <c r="R161" s="13">
        <f t="shared" si="6"/>
        <v>0.74</v>
      </c>
      <c r="T161" s="61" t="s">
        <v>37</v>
      </c>
      <c r="U161" s="77" t="s">
        <v>38</v>
      </c>
      <c r="V161" s="62" t="s">
        <v>39</v>
      </c>
      <c r="W161" s="60">
        <f>$M$153</f>
        <v>0.33333333333333331</v>
      </c>
      <c r="X161" s="54">
        <f t="shared" ref="X161:X187" si="7">$P$159</f>
        <v>0.9</v>
      </c>
      <c r="Y161" s="55">
        <f t="shared" ref="Y161:Y169" si="8">$P$165</f>
        <v>0.04</v>
      </c>
      <c r="Z161" s="55">
        <f>$P$171</f>
        <v>1</v>
      </c>
      <c r="AA161" s="56">
        <f>$P$177</f>
        <v>1</v>
      </c>
      <c r="AB161" s="57">
        <f>PRODUCT(W161:AA161)</f>
        <v>1.2E-2</v>
      </c>
      <c r="AC161" s="53">
        <f>AB161</f>
        <v>1.2E-2</v>
      </c>
    </row>
    <row r="162" spans="10:29" x14ac:dyDescent="0.25">
      <c r="T162" s="63" t="s">
        <v>37</v>
      </c>
      <c r="U162" s="74" t="s">
        <v>38</v>
      </c>
      <c r="V162" s="64" t="s">
        <v>40</v>
      </c>
      <c r="W162" s="60">
        <f t="shared" ref="W162:W225" si="9">$M$153</f>
        <v>0.33333333333333331</v>
      </c>
      <c r="X162" s="54">
        <f t="shared" si="7"/>
        <v>0.9</v>
      </c>
      <c r="Y162" s="55">
        <f t="shared" si="8"/>
        <v>0.04</v>
      </c>
      <c r="Z162" s="55">
        <f>$P$171</f>
        <v>1</v>
      </c>
      <c r="AA162" s="58">
        <f>$Q$177</f>
        <v>0</v>
      </c>
      <c r="AB162" s="57">
        <f t="shared" ref="AB162:AB187" si="10">PRODUCT(W162:AA162)</f>
        <v>0</v>
      </c>
      <c r="AC162" s="53">
        <f t="shared" ref="AC162:AC187" si="11">AB162</f>
        <v>0</v>
      </c>
    </row>
    <row r="163" spans="10:29" x14ac:dyDescent="0.25">
      <c r="J163" t="s">
        <v>41</v>
      </c>
      <c r="P163" t="s">
        <v>42</v>
      </c>
      <c r="Q163" t="s">
        <v>43</v>
      </c>
      <c r="R163" t="s">
        <v>44</v>
      </c>
      <c r="T163" s="63" t="s">
        <v>37</v>
      </c>
      <c r="U163" s="74" t="s">
        <v>38</v>
      </c>
      <c r="V163" s="64" t="s">
        <v>45</v>
      </c>
      <c r="W163" s="60">
        <f t="shared" si="9"/>
        <v>0.33333333333333331</v>
      </c>
      <c r="X163" s="54">
        <f t="shared" si="7"/>
        <v>0.9</v>
      </c>
      <c r="Y163" s="55">
        <f t="shared" si="8"/>
        <v>0.04</v>
      </c>
      <c r="Z163" s="55">
        <f>$P$171</f>
        <v>1</v>
      </c>
      <c r="AA163" s="59">
        <f>$R$177</f>
        <v>0</v>
      </c>
      <c r="AB163" s="57">
        <f t="shared" si="10"/>
        <v>0</v>
      </c>
      <c r="AC163" s="53">
        <f t="shared" si="11"/>
        <v>0</v>
      </c>
    </row>
    <row r="164" spans="10:29" x14ac:dyDescent="0.25">
      <c r="J164" s="25" t="s">
        <v>1</v>
      </c>
      <c r="K164" s="26"/>
      <c r="L164" s="27" t="s">
        <v>27</v>
      </c>
      <c r="M164" s="27" t="s">
        <v>28</v>
      </c>
      <c r="N164" s="28" t="s">
        <v>29</v>
      </c>
      <c r="P164" s="29" t="s">
        <v>27</v>
      </c>
      <c r="Q164" s="27" t="s">
        <v>28</v>
      </c>
      <c r="R164" s="28" t="s">
        <v>29</v>
      </c>
      <c r="T164" s="63" t="s">
        <v>37</v>
      </c>
      <c r="U164" s="74" t="s">
        <v>38</v>
      </c>
      <c r="V164" s="64" t="s">
        <v>46</v>
      </c>
      <c r="W164" s="60">
        <f t="shared" si="9"/>
        <v>0.33333333333333331</v>
      </c>
      <c r="X164" s="54">
        <f t="shared" si="7"/>
        <v>0.9</v>
      </c>
      <c r="Y164" s="55">
        <f t="shared" si="8"/>
        <v>0.04</v>
      </c>
      <c r="Z164" s="58">
        <f>$Q$171</f>
        <v>0</v>
      </c>
      <c r="AA164" s="56">
        <f>$P$177</f>
        <v>1</v>
      </c>
      <c r="AB164" s="57">
        <f t="shared" si="10"/>
        <v>0</v>
      </c>
      <c r="AC164" s="53">
        <f t="shared" si="11"/>
        <v>0</v>
      </c>
    </row>
    <row r="165" spans="10:29" x14ac:dyDescent="0.25">
      <c r="J165" s="30" t="s">
        <v>4</v>
      </c>
      <c r="K165" s="31" t="s">
        <v>15</v>
      </c>
      <c r="L165" s="8">
        <v>2</v>
      </c>
      <c r="M165" s="8">
        <v>16</v>
      </c>
      <c r="N165" s="9">
        <v>32</v>
      </c>
      <c r="P165" s="14">
        <f>L165/SUM(L165:N165)</f>
        <v>0.04</v>
      </c>
      <c r="Q165" s="10">
        <f>M165/SUM(L165:N165)</f>
        <v>0.32</v>
      </c>
      <c r="R165" s="11">
        <f>N165/SUM(L165:N165)</f>
        <v>0.64</v>
      </c>
      <c r="T165" s="63" t="s">
        <v>37</v>
      </c>
      <c r="U165" s="74" t="s">
        <v>38</v>
      </c>
      <c r="V165" s="64" t="s">
        <v>47</v>
      </c>
      <c r="W165" s="60">
        <f t="shared" si="9"/>
        <v>0.33333333333333331</v>
      </c>
      <c r="X165" s="54">
        <f t="shared" si="7"/>
        <v>0.9</v>
      </c>
      <c r="Y165" s="55">
        <f t="shared" si="8"/>
        <v>0.04</v>
      </c>
      <c r="Z165" s="58">
        <f t="shared" ref="Z165:Z169" si="12">$Q$171</f>
        <v>0</v>
      </c>
      <c r="AA165" s="58">
        <f>$Q$177</f>
        <v>0</v>
      </c>
      <c r="AB165" s="57">
        <f t="shared" si="10"/>
        <v>0</v>
      </c>
      <c r="AC165" s="53">
        <f t="shared" si="11"/>
        <v>0</v>
      </c>
    </row>
    <row r="166" spans="10:29" x14ac:dyDescent="0.25">
      <c r="J166" s="30"/>
      <c r="K166" s="32" t="s">
        <v>17</v>
      </c>
      <c r="L166" s="10">
        <v>34</v>
      </c>
      <c r="M166" s="10">
        <v>14</v>
      </c>
      <c r="N166" s="11">
        <v>2</v>
      </c>
      <c r="P166" s="14">
        <f t="shared" ref="P166:P167" si="13">L166/SUM(L166:N166)</f>
        <v>0.68</v>
      </c>
      <c r="Q166" s="10">
        <f t="shared" ref="Q166:Q167" si="14">M166/SUM(L166:N166)</f>
        <v>0.28000000000000003</v>
      </c>
      <c r="R166" s="11">
        <f t="shared" ref="R166:R167" si="15">N166/SUM(L166:N166)</f>
        <v>0.04</v>
      </c>
      <c r="T166" s="63" t="s">
        <v>37</v>
      </c>
      <c r="U166" s="74" t="s">
        <v>38</v>
      </c>
      <c r="V166" s="64" t="s">
        <v>48</v>
      </c>
      <c r="W166" s="60">
        <f t="shared" si="9"/>
        <v>0.33333333333333331</v>
      </c>
      <c r="X166" s="54">
        <f t="shared" si="7"/>
        <v>0.9</v>
      </c>
      <c r="Y166" s="55">
        <f t="shared" si="8"/>
        <v>0.04</v>
      </c>
      <c r="Z166" s="58">
        <f t="shared" si="12"/>
        <v>0</v>
      </c>
      <c r="AA166" s="59">
        <f>$R$177</f>
        <v>0</v>
      </c>
      <c r="AB166" s="57">
        <f t="shared" si="10"/>
        <v>0</v>
      </c>
      <c r="AC166" s="53">
        <f t="shared" si="11"/>
        <v>0</v>
      </c>
    </row>
    <row r="167" spans="10:29" x14ac:dyDescent="0.25">
      <c r="J167" s="33"/>
      <c r="K167" s="34" t="s">
        <v>19</v>
      </c>
      <c r="L167" s="12">
        <v>21</v>
      </c>
      <c r="M167" s="12">
        <v>21</v>
      </c>
      <c r="N167" s="13">
        <v>8</v>
      </c>
      <c r="P167" s="15">
        <f t="shared" si="13"/>
        <v>0.42</v>
      </c>
      <c r="Q167" s="12">
        <f t="shared" si="14"/>
        <v>0.42</v>
      </c>
      <c r="R167" s="13">
        <f t="shared" si="15"/>
        <v>0.16</v>
      </c>
      <c r="T167" s="63" t="s">
        <v>37</v>
      </c>
      <c r="U167" s="74" t="s">
        <v>38</v>
      </c>
      <c r="V167" s="64" t="s">
        <v>49</v>
      </c>
      <c r="W167" s="60">
        <f t="shared" si="9"/>
        <v>0.33333333333333331</v>
      </c>
      <c r="X167" s="54">
        <f t="shared" si="7"/>
        <v>0.9</v>
      </c>
      <c r="Y167" s="55">
        <f t="shared" si="8"/>
        <v>0.04</v>
      </c>
      <c r="Z167" s="59">
        <f t="shared" si="12"/>
        <v>0</v>
      </c>
      <c r="AA167" s="56">
        <f>$P$177</f>
        <v>1</v>
      </c>
      <c r="AB167" s="57">
        <f t="shared" si="10"/>
        <v>0</v>
      </c>
      <c r="AC167" s="53">
        <f t="shared" si="11"/>
        <v>0</v>
      </c>
    </row>
    <row r="168" spans="10:29" x14ac:dyDescent="0.25">
      <c r="T168" s="63" t="s">
        <v>37</v>
      </c>
      <c r="U168" s="74" t="s">
        <v>38</v>
      </c>
      <c r="V168" s="64" t="s">
        <v>50</v>
      </c>
      <c r="W168" s="60">
        <f t="shared" si="9"/>
        <v>0.33333333333333331</v>
      </c>
      <c r="X168" s="54">
        <f t="shared" si="7"/>
        <v>0.9</v>
      </c>
      <c r="Y168" s="55">
        <f t="shared" si="8"/>
        <v>0.04</v>
      </c>
      <c r="Z168" s="59">
        <f t="shared" si="12"/>
        <v>0</v>
      </c>
      <c r="AA168" s="58">
        <f>$Q$177</f>
        <v>0</v>
      </c>
      <c r="AB168" s="57">
        <f t="shared" si="10"/>
        <v>0</v>
      </c>
      <c r="AC168" s="53">
        <f t="shared" si="11"/>
        <v>0</v>
      </c>
    </row>
    <row r="169" spans="10:29" x14ac:dyDescent="0.25">
      <c r="J169" t="s">
        <v>51</v>
      </c>
      <c r="P169" t="s">
        <v>52</v>
      </c>
      <c r="Q169" t="s">
        <v>53</v>
      </c>
      <c r="R169" t="s">
        <v>54</v>
      </c>
      <c r="T169" s="63" t="s">
        <v>37</v>
      </c>
      <c r="U169" s="74" t="s">
        <v>38</v>
      </c>
      <c r="V169" s="64" t="s">
        <v>55</v>
      </c>
      <c r="W169" s="60">
        <f t="shared" si="9"/>
        <v>0.33333333333333331</v>
      </c>
      <c r="X169" s="54">
        <f t="shared" si="7"/>
        <v>0.9</v>
      </c>
      <c r="Y169" s="55">
        <f t="shared" si="8"/>
        <v>0.04</v>
      </c>
      <c r="Z169" s="59">
        <f t="shared" si="12"/>
        <v>0</v>
      </c>
      <c r="AA169" s="59">
        <f>$R$177</f>
        <v>0</v>
      </c>
      <c r="AB169" s="57">
        <f t="shared" si="10"/>
        <v>0</v>
      </c>
      <c r="AC169" s="53">
        <f t="shared" si="11"/>
        <v>0</v>
      </c>
    </row>
    <row r="170" spans="10:29" x14ac:dyDescent="0.25">
      <c r="J170" s="35" t="s">
        <v>2</v>
      </c>
      <c r="K170" s="36"/>
      <c r="L170" s="37" t="s">
        <v>27</v>
      </c>
      <c r="M170" s="37" t="s">
        <v>28</v>
      </c>
      <c r="N170" s="38" t="s">
        <v>29</v>
      </c>
      <c r="P170" s="39" t="s">
        <v>27</v>
      </c>
      <c r="Q170" s="37" t="s">
        <v>28</v>
      </c>
      <c r="R170" s="38" t="s">
        <v>29</v>
      </c>
      <c r="T170" s="68" t="s">
        <v>37</v>
      </c>
      <c r="U170" s="75" t="s">
        <v>38</v>
      </c>
      <c r="V170" s="65" t="s">
        <v>56</v>
      </c>
      <c r="W170" s="60">
        <f t="shared" si="9"/>
        <v>0.33333333333333331</v>
      </c>
      <c r="X170" s="54">
        <f t="shared" si="7"/>
        <v>0.9</v>
      </c>
      <c r="Y170" s="79">
        <f>$Q$165</f>
        <v>0.32</v>
      </c>
      <c r="Z170" s="55">
        <f>$P$171</f>
        <v>1</v>
      </c>
      <c r="AA170" s="56">
        <f>$P$177</f>
        <v>1</v>
      </c>
      <c r="AB170" s="57">
        <f t="shared" si="10"/>
        <v>9.6000000000000002E-2</v>
      </c>
      <c r="AC170" s="53">
        <f t="shared" si="11"/>
        <v>9.6000000000000002E-2</v>
      </c>
    </row>
    <row r="171" spans="10:29" x14ac:dyDescent="0.25">
      <c r="J171" s="30" t="s">
        <v>4</v>
      </c>
      <c r="K171" s="31" t="s">
        <v>15</v>
      </c>
      <c r="L171" s="8">
        <v>50</v>
      </c>
      <c r="M171" s="8">
        <v>0</v>
      </c>
      <c r="N171" s="9">
        <v>0</v>
      </c>
      <c r="P171" s="14">
        <f>L171/SUM(L171:N171)</f>
        <v>1</v>
      </c>
      <c r="Q171" s="10">
        <f>M171/SUM(L171:N171)</f>
        <v>0</v>
      </c>
      <c r="R171" s="11">
        <f>N171/SUM(L171:N171)</f>
        <v>0</v>
      </c>
      <c r="T171" s="68" t="s">
        <v>37</v>
      </c>
      <c r="U171" s="75" t="s">
        <v>38</v>
      </c>
      <c r="V171" s="65" t="s">
        <v>57</v>
      </c>
      <c r="W171" s="60">
        <f t="shared" si="9"/>
        <v>0.33333333333333331</v>
      </c>
      <c r="X171" s="54">
        <f t="shared" si="7"/>
        <v>0.9</v>
      </c>
      <c r="Y171" s="79">
        <f>$Q$165</f>
        <v>0.32</v>
      </c>
      <c r="Z171" s="55">
        <f>$P$171</f>
        <v>1</v>
      </c>
      <c r="AA171" s="58">
        <f>$Q$177</f>
        <v>0</v>
      </c>
      <c r="AB171" s="57">
        <f t="shared" si="10"/>
        <v>0</v>
      </c>
      <c r="AC171" s="53">
        <f t="shared" si="11"/>
        <v>0</v>
      </c>
    </row>
    <row r="172" spans="10:29" x14ac:dyDescent="0.25">
      <c r="J172" s="30"/>
      <c r="K172" s="32" t="s">
        <v>17</v>
      </c>
      <c r="L172" s="10">
        <v>1</v>
      </c>
      <c r="M172" s="10">
        <v>45</v>
      </c>
      <c r="N172" s="11">
        <v>4</v>
      </c>
      <c r="P172" s="14">
        <f t="shared" ref="P172:P173" si="16">L172/SUM(L172:N172)</f>
        <v>0.02</v>
      </c>
      <c r="Q172" s="10">
        <f t="shared" ref="Q172:Q173" si="17">M172/SUM(L172:N172)</f>
        <v>0.9</v>
      </c>
      <c r="R172" s="11">
        <f t="shared" ref="R172:R173" si="18">N172/SUM(L172:N172)</f>
        <v>0.08</v>
      </c>
      <c r="T172" s="68" t="s">
        <v>37</v>
      </c>
      <c r="U172" s="75" t="s">
        <v>38</v>
      </c>
      <c r="V172" s="65" t="s">
        <v>58</v>
      </c>
      <c r="W172" s="60">
        <f t="shared" si="9"/>
        <v>0.33333333333333331</v>
      </c>
      <c r="X172" s="54">
        <f t="shared" si="7"/>
        <v>0.9</v>
      </c>
      <c r="Y172" s="79">
        <f t="shared" ref="Y172:Y178" si="19">$Q$165</f>
        <v>0.32</v>
      </c>
      <c r="Z172" s="55">
        <f>$P$171</f>
        <v>1</v>
      </c>
      <c r="AA172" s="59">
        <f>$R$177</f>
        <v>0</v>
      </c>
      <c r="AB172" s="57">
        <f t="shared" si="10"/>
        <v>0</v>
      </c>
      <c r="AC172" s="53">
        <f t="shared" si="11"/>
        <v>0</v>
      </c>
    </row>
    <row r="173" spans="10:29" x14ac:dyDescent="0.25">
      <c r="J173" s="33"/>
      <c r="K173" s="34" t="s">
        <v>19</v>
      </c>
      <c r="L173" s="12">
        <v>0</v>
      </c>
      <c r="M173" s="12">
        <v>3</v>
      </c>
      <c r="N173" s="13">
        <v>47</v>
      </c>
      <c r="P173" s="15">
        <f t="shared" si="16"/>
        <v>0</v>
      </c>
      <c r="Q173" s="12">
        <f t="shared" si="17"/>
        <v>0.06</v>
      </c>
      <c r="R173" s="13">
        <f t="shared" si="18"/>
        <v>0.94</v>
      </c>
      <c r="T173" s="68" t="s">
        <v>37</v>
      </c>
      <c r="U173" s="75" t="s">
        <v>38</v>
      </c>
      <c r="V173" s="65" t="s">
        <v>59</v>
      </c>
      <c r="W173" s="60">
        <f t="shared" si="9"/>
        <v>0.33333333333333331</v>
      </c>
      <c r="X173" s="54">
        <f t="shared" si="7"/>
        <v>0.9</v>
      </c>
      <c r="Y173" s="79">
        <f t="shared" si="19"/>
        <v>0.32</v>
      </c>
      <c r="Z173" s="58">
        <f>$Q$171</f>
        <v>0</v>
      </c>
      <c r="AA173" s="56">
        <f>$P$177</f>
        <v>1</v>
      </c>
      <c r="AB173" s="57">
        <f t="shared" si="10"/>
        <v>0</v>
      </c>
      <c r="AC173" s="53">
        <f t="shared" si="11"/>
        <v>0</v>
      </c>
    </row>
    <row r="174" spans="10:29" x14ac:dyDescent="0.25">
      <c r="T174" s="68" t="s">
        <v>37</v>
      </c>
      <c r="U174" s="75" t="s">
        <v>38</v>
      </c>
      <c r="V174" s="65" t="s">
        <v>60</v>
      </c>
      <c r="W174" s="60">
        <f t="shared" si="9"/>
        <v>0.33333333333333331</v>
      </c>
      <c r="X174" s="54">
        <f t="shared" si="7"/>
        <v>0.9</v>
      </c>
      <c r="Y174" s="79">
        <f t="shared" si="19"/>
        <v>0.32</v>
      </c>
      <c r="Z174" s="58">
        <f t="shared" ref="Z174:Z178" si="20">$Q$171</f>
        <v>0</v>
      </c>
      <c r="AA174" s="58">
        <f>$Q$177</f>
        <v>0</v>
      </c>
      <c r="AB174" s="57">
        <f t="shared" si="10"/>
        <v>0</v>
      </c>
      <c r="AC174" s="53">
        <f t="shared" si="11"/>
        <v>0</v>
      </c>
    </row>
    <row r="175" spans="10:29" x14ac:dyDescent="0.25">
      <c r="J175" t="s">
        <v>61</v>
      </c>
      <c r="P175" t="s">
        <v>62</v>
      </c>
      <c r="Q175" t="s">
        <v>63</v>
      </c>
      <c r="R175" t="s">
        <v>64</v>
      </c>
      <c r="T175" s="68" t="s">
        <v>37</v>
      </c>
      <c r="U175" s="75" t="s">
        <v>38</v>
      </c>
      <c r="V175" s="65" t="s">
        <v>65</v>
      </c>
      <c r="W175" s="60">
        <f t="shared" si="9"/>
        <v>0.33333333333333331</v>
      </c>
      <c r="X175" s="54">
        <f t="shared" si="7"/>
        <v>0.9</v>
      </c>
      <c r="Y175" s="79">
        <f t="shared" si="19"/>
        <v>0.32</v>
      </c>
      <c r="Z175" s="58">
        <f t="shared" si="20"/>
        <v>0</v>
      </c>
      <c r="AA175" s="59">
        <f>$R$177</f>
        <v>0</v>
      </c>
      <c r="AB175" s="57">
        <f t="shared" si="10"/>
        <v>0</v>
      </c>
      <c r="AC175" s="53">
        <f t="shared" si="11"/>
        <v>0</v>
      </c>
    </row>
    <row r="176" spans="10:29" x14ac:dyDescent="0.25">
      <c r="J176" s="40" t="s">
        <v>3</v>
      </c>
      <c r="K176" s="41"/>
      <c r="L176" s="42" t="s">
        <v>27</v>
      </c>
      <c r="M176" s="42" t="s">
        <v>28</v>
      </c>
      <c r="N176" s="43" t="s">
        <v>29</v>
      </c>
      <c r="P176" s="44" t="s">
        <v>27</v>
      </c>
      <c r="Q176" s="42" t="s">
        <v>28</v>
      </c>
      <c r="R176" s="43" t="s">
        <v>29</v>
      </c>
      <c r="T176" s="68" t="s">
        <v>37</v>
      </c>
      <c r="U176" s="75" t="s">
        <v>38</v>
      </c>
      <c r="V176" s="65" t="s">
        <v>66</v>
      </c>
      <c r="W176" s="60">
        <f t="shared" si="9"/>
        <v>0.33333333333333331</v>
      </c>
      <c r="X176" s="54">
        <f t="shared" si="7"/>
        <v>0.9</v>
      </c>
      <c r="Y176" s="79">
        <f t="shared" si="19"/>
        <v>0.32</v>
      </c>
      <c r="Z176" s="59">
        <f t="shared" si="20"/>
        <v>0</v>
      </c>
      <c r="AA176" s="56">
        <f>$P$177</f>
        <v>1</v>
      </c>
      <c r="AB176" s="57">
        <f t="shared" si="10"/>
        <v>0</v>
      </c>
      <c r="AC176" s="53">
        <f t="shared" si="11"/>
        <v>0</v>
      </c>
    </row>
    <row r="177" spans="10:29" x14ac:dyDescent="0.25">
      <c r="J177" s="30" t="s">
        <v>4</v>
      </c>
      <c r="K177" s="31" t="s">
        <v>15</v>
      </c>
      <c r="L177" s="8">
        <v>50</v>
      </c>
      <c r="M177" s="8">
        <v>0</v>
      </c>
      <c r="N177" s="9">
        <v>0</v>
      </c>
      <c r="P177" s="14">
        <f>L177/SUM(L177:N177)</f>
        <v>1</v>
      </c>
      <c r="Q177" s="10">
        <f>M177/SUM(L177:N177)</f>
        <v>0</v>
      </c>
      <c r="R177" s="11">
        <f>N177/SUM(L177:N177)</f>
        <v>0</v>
      </c>
      <c r="T177" s="68" t="s">
        <v>37</v>
      </c>
      <c r="U177" s="75" t="s">
        <v>38</v>
      </c>
      <c r="V177" s="65" t="s">
        <v>67</v>
      </c>
      <c r="W177" s="60">
        <f t="shared" si="9"/>
        <v>0.33333333333333331</v>
      </c>
      <c r="X177" s="54">
        <f t="shared" si="7"/>
        <v>0.9</v>
      </c>
      <c r="Y177" s="79">
        <f t="shared" si="19"/>
        <v>0.32</v>
      </c>
      <c r="Z177" s="59">
        <f t="shared" si="20"/>
        <v>0</v>
      </c>
      <c r="AA177" s="58">
        <f>$Q$177</f>
        <v>0</v>
      </c>
      <c r="AB177" s="57">
        <f t="shared" si="10"/>
        <v>0</v>
      </c>
      <c r="AC177" s="53">
        <f t="shared" si="11"/>
        <v>0</v>
      </c>
    </row>
    <row r="178" spans="10:29" x14ac:dyDescent="0.25">
      <c r="J178" s="30"/>
      <c r="K178" s="32" t="s">
        <v>17</v>
      </c>
      <c r="L178" s="10">
        <v>0</v>
      </c>
      <c r="M178" s="10">
        <v>45</v>
      </c>
      <c r="N178" s="11">
        <v>5</v>
      </c>
      <c r="P178" s="14">
        <f t="shared" ref="P178:P179" si="21">L178/SUM(L178:N178)</f>
        <v>0</v>
      </c>
      <c r="Q178" s="10">
        <f t="shared" ref="Q178:Q179" si="22">M178/SUM(L178:N178)</f>
        <v>0.9</v>
      </c>
      <c r="R178" s="11">
        <f t="shared" ref="R178:R179" si="23">N178/SUM(L178:N178)</f>
        <v>0.1</v>
      </c>
      <c r="T178" s="68" t="s">
        <v>37</v>
      </c>
      <c r="U178" s="75" t="s">
        <v>38</v>
      </c>
      <c r="V178" s="65" t="s">
        <v>68</v>
      </c>
      <c r="W178" s="60">
        <f t="shared" si="9"/>
        <v>0.33333333333333331</v>
      </c>
      <c r="X178" s="54">
        <f t="shared" si="7"/>
        <v>0.9</v>
      </c>
      <c r="Y178" s="79">
        <f t="shared" si="19"/>
        <v>0.32</v>
      </c>
      <c r="Z178" s="59">
        <f t="shared" si="20"/>
        <v>0</v>
      </c>
      <c r="AA178" s="59">
        <f>$R$177</f>
        <v>0</v>
      </c>
      <c r="AB178" s="57">
        <f t="shared" si="10"/>
        <v>0</v>
      </c>
      <c r="AC178" s="53">
        <f t="shared" si="11"/>
        <v>0</v>
      </c>
    </row>
    <row r="179" spans="10:29" x14ac:dyDescent="0.25">
      <c r="J179" s="33"/>
      <c r="K179" s="34" t="s">
        <v>19</v>
      </c>
      <c r="L179" s="12">
        <v>0</v>
      </c>
      <c r="M179" s="12">
        <v>3</v>
      </c>
      <c r="N179" s="13">
        <v>47</v>
      </c>
      <c r="P179" s="15">
        <f t="shared" si="21"/>
        <v>0</v>
      </c>
      <c r="Q179" s="12">
        <f t="shared" si="22"/>
        <v>0.06</v>
      </c>
      <c r="R179" s="13">
        <f t="shared" si="23"/>
        <v>0.94</v>
      </c>
      <c r="S179" s="83"/>
      <c r="T179" s="69" t="s">
        <v>37</v>
      </c>
      <c r="U179" s="76" t="s">
        <v>38</v>
      </c>
      <c r="V179" s="66" t="s">
        <v>69</v>
      </c>
      <c r="W179" s="60">
        <f t="shared" si="9"/>
        <v>0.33333333333333331</v>
      </c>
      <c r="X179" s="54">
        <f t="shared" si="7"/>
        <v>0.9</v>
      </c>
      <c r="Y179" s="80">
        <f>$R$165</f>
        <v>0.64</v>
      </c>
      <c r="Z179" s="55">
        <f>$P$171</f>
        <v>1</v>
      </c>
      <c r="AA179" s="56">
        <f>$P$177</f>
        <v>1</v>
      </c>
      <c r="AB179" s="57">
        <f t="shared" si="10"/>
        <v>0.192</v>
      </c>
      <c r="AC179" s="53">
        <f t="shared" si="11"/>
        <v>0.192</v>
      </c>
    </row>
    <row r="180" spans="10:29" x14ac:dyDescent="0.25">
      <c r="T180" s="69" t="s">
        <v>37</v>
      </c>
      <c r="U180" s="76" t="s">
        <v>38</v>
      </c>
      <c r="V180" s="66" t="s">
        <v>70</v>
      </c>
      <c r="W180" s="60">
        <f t="shared" si="9"/>
        <v>0.33333333333333331</v>
      </c>
      <c r="X180" s="54">
        <f t="shared" si="7"/>
        <v>0.9</v>
      </c>
      <c r="Y180" s="80">
        <f t="shared" ref="Y180:Y187" si="24">$R$165</f>
        <v>0.64</v>
      </c>
      <c r="Z180" s="55">
        <f>$P$171</f>
        <v>1</v>
      </c>
      <c r="AA180" s="58">
        <f>$Q$177</f>
        <v>0</v>
      </c>
      <c r="AB180" s="57">
        <f t="shared" si="10"/>
        <v>0</v>
      </c>
      <c r="AC180" s="53">
        <f t="shared" si="11"/>
        <v>0</v>
      </c>
    </row>
    <row r="181" spans="10:29" x14ac:dyDescent="0.25">
      <c r="T181" s="69" t="s">
        <v>37</v>
      </c>
      <c r="U181" s="76" t="s">
        <v>38</v>
      </c>
      <c r="V181" s="66" t="s">
        <v>71</v>
      </c>
      <c r="W181" s="60">
        <f t="shared" si="9"/>
        <v>0.33333333333333331</v>
      </c>
      <c r="X181" s="54">
        <f t="shared" si="7"/>
        <v>0.9</v>
      </c>
      <c r="Y181" s="80">
        <f t="shared" si="24"/>
        <v>0.64</v>
      </c>
      <c r="Z181" s="55">
        <f>$P$171</f>
        <v>1</v>
      </c>
      <c r="AA181" s="59">
        <f>$R$177</f>
        <v>0</v>
      </c>
      <c r="AB181" s="57">
        <f t="shared" si="10"/>
        <v>0</v>
      </c>
      <c r="AC181" s="53">
        <f t="shared" si="11"/>
        <v>0</v>
      </c>
    </row>
    <row r="182" spans="10:29" x14ac:dyDescent="0.25">
      <c r="T182" s="69" t="s">
        <v>37</v>
      </c>
      <c r="U182" s="76" t="s">
        <v>38</v>
      </c>
      <c r="V182" s="66" t="s">
        <v>72</v>
      </c>
      <c r="W182" s="60">
        <f t="shared" si="9"/>
        <v>0.33333333333333331</v>
      </c>
      <c r="X182" s="54">
        <f t="shared" si="7"/>
        <v>0.9</v>
      </c>
      <c r="Y182" s="80">
        <f t="shared" si="24"/>
        <v>0.64</v>
      </c>
      <c r="Z182" s="58">
        <f>$Q$171</f>
        <v>0</v>
      </c>
      <c r="AA182" s="56">
        <f>$P$177</f>
        <v>1</v>
      </c>
      <c r="AB182" s="57">
        <f t="shared" si="10"/>
        <v>0</v>
      </c>
      <c r="AC182" s="53">
        <f t="shared" si="11"/>
        <v>0</v>
      </c>
    </row>
    <row r="183" spans="10:29" x14ac:dyDescent="0.25">
      <c r="T183" s="69" t="s">
        <v>37</v>
      </c>
      <c r="U183" s="76" t="s">
        <v>38</v>
      </c>
      <c r="V183" s="66" t="s">
        <v>73</v>
      </c>
      <c r="W183" s="60">
        <f t="shared" si="9"/>
        <v>0.33333333333333331</v>
      </c>
      <c r="X183" s="54">
        <f t="shared" si="7"/>
        <v>0.9</v>
      </c>
      <c r="Y183" s="80">
        <f t="shared" si="24"/>
        <v>0.64</v>
      </c>
      <c r="Z183" s="58">
        <f t="shared" ref="Z183:Z187" si="25">$Q$171</f>
        <v>0</v>
      </c>
      <c r="AA183" s="58">
        <f>$Q$177</f>
        <v>0</v>
      </c>
      <c r="AB183" s="57">
        <f t="shared" si="10"/>
        <v>0</v>
      </c>
      <c r="AC183" s="53">
        <f t="shared" si="11"/>
        <v>0</v>
      </c>
    </row>
    <row r="184" spans="10:29" x14ac:dyDescent="0.25">
      <c r="T184" s="69" t="s">
        <v>37</v>
      </c>
      <c r="U184" s="76" t="s">
        <v>38</v>
      </c>
      <c r="V184" s="66" t="s">
        <v>74</v>
      </c>
      <c r="W184" s="60">
        <f t="shared" si="9"/>
        <v>0.33333333333333331</v>
      </c>
      <c r="X184" s="54">
        <f t="shared" si="7"/>
        <v>0.9</v>
      </c>
      <c r="Y184" s="80">
        <f t="shared" si="24"/>
        <v>0.64</v>
      </c>
      <c r="Z184" s="58">
        <f t="shared" si="25"/>
        <v>0</v>
      </c>
      <c r="AA184" s="59">
        <f>$R$177</f>
        <v>0</v>
      </c>
      <c r="AB184" s="57">
        <f t="shared" si="10"/>
        <v>0</v>
      </c>
      <c r="AC184" s="53">
        <f t="shared" si="11"/>
        <v>0</v>
      </c>
    </row>
    <row r="185" spans="10:29" x14ac:dyDescent="0.25">
      <c r="T185" s="69" t="s">
        <v>37</v>
      </c>
      <c r="U185" s="76" t="s">
        <v>38</v>
      </c>
      <c r="V185" s="66" t="s">
        <v>75</v>
      </c>
      <c r="W185" s="60">
        <f t="shared" si="9"/>
        <v>0.33333333333333331</v>
      </c>
      <c r="X185" s="54">
        <f t="shared" si="7"/>
        <v>0.9</v>
      </c>
      <c r="Y185" s="80">
        <f t="shared" si="24"/>
        <v>0.64</v>
      </c>
      <c r="Z185" s="59">
        <f t="shared" si="25"/>
        <v>0</v>
      </c>
      <c r="AA185" s="56">
        <f>$P$177</f>
        <v>1</v>
      </c>
      <c r="AB185" s="57">
        <f t="shared" si="10"/>
        <v>0</v>
      </c>
      <c r="AC185" s="53">
        <f t="shared" si="11"/>
        <v>0</v>
      </c>
    </row>
    <row r="186" spans="10:29" x14ac:dyDescent="0.25">
      <c r="T186" s="69" t="s">
        <v>37</v>
      </c>
      <c r="U186" s="76" t="s">
        <v>38</v>
      </c>
      <c r="V186" s="66" t="s">
        <v>76</v>
      </c>
      <c r="W186" s="60">
        <f t="shared" si="9"/>
        <v>0.33333333333333331</v>
      </c>
      <c r="X186" s="54">
        <f t="shared" si="7"/>
        <v>0.9</v>
      </c>
      <c r="Y186" s="80">
        <f t="shared" si="24"/>
        <v>0.64</v>
      </c>
      <c r="Z186" s="59">
        <f t="shared" si="25"/>
        <v>0</v>
      </c>
      <c r="AA186" s="58">
        <f>$Q$177</f>
        <v>0</v>
      </c>
      <c r="AB186" s="57">
        <f t="shared" si="10"/>
        <v>0</v>
      </c>
      <c r="AC186" s="53">
        <f t="shared" si="11"/>
        <v>0</v>
      </c>
    </row>
    <row r="187" spans="10:29" x14ac:dyDescent="0.25">
      <c r="T187" s="70" t="s">
        <v>37</v>
      </c>
      <c r="U187" s="78" t="s">
        <v>38</v>
      </c>
      <c r="V187" s="67" t="s">
        <v>77</v>
      </c>
      <c r="W187" s="60">
        <f t="shared" si="9"/>
        <v>0.33333333333333331</v>
      </c>
      <c r="X187" s="54">
        <f t="shared" si="7"/>
        <v>0.9</v>
      </c>
      <c r="Y187" s="80">
        <f t="shared" si="24"/>
        <v>0.64</v>
      </c>
      <c r="Z187" s="59">
        <f t="shared" si="25"/>
        <v>0</v>
      </c>
      <c r="AA187" s="59">
        <f>$R$177</f>
        <v>0</v>
      </c>
      <c r="AB187" s="57">
        <f t="shared" si="10"/>
        <v>0</v>
      </c>
      <c r="AC187" s="53">
        <f t="shared" si="11"/>
        <v>0</v>
      </c>
    </row>
    <row r="188" spans="10:29" x14ac:dyDescent="0.25">
      <c r="T188" s="61" t="s">
        <v>37</v>
      </c>
      <c r="U188" s="77" t="s">
        <v>78</v>
      </c>
      <c r="V188" s="62" t="s">
        <v>39</v>
      </c>
      <c r="W188" s="60">
        <f>$M$153</f>
        <v>0.33333333333333331</v>
      </c>
      <c r="X188" s="54">
        <f>$Q$159</f>
        <v>0.1</v>
      </c>
      <c r="Y188" s="55">
        <f t="shared" ref="Y188:Y196" si="26">$P$165</f>
        <v>0.04</v>
      </c>
      <c r="Z188" s="55">
        <f>$P$171</f>
        <v>1</v>
      </c>
      <c r="AA188" s="56">
        <f>$P$177</f>
        <v>1</v>
      </c>
      <c r="AB188" s="57">
        <f>PRODUCT(W188:AA188)</f>
        <v>1.3333333333333333E-3</v>
      </c>
      <c r="AC188" s="53">
        <f>AB188</f>
        <v>1.3333333333333333E-3</v>
      </c>
    </row>
    <row r="189" spans="10:29" x14ac:dyDescent="0.25">
      <c r="T189" s="63" t="s">
        <v>37</v>
      </c>
      <c r="U189" s="77" t="s">
        <v>78</v>
      </c>
      <c r="V189" s="64" t="s">
        <v>40</v>
      </c>
      <c r="W189" s="60">
        <f t="shared" si="9"/>
        <v>0.33333333333333331</v>
      </c>
      <c r="X189" s="54">
        <f t="shared" ref="X189:X214" si="27">$Q$159</f>
        <v>0.1</v>
      </c>
      <c r="Y189" s="55">
        <f t="shared" si="26"/>
        <v>0.04</v>
      </c>
      <c r="Z189" s="55">
        <f>$P$171</f>
        <v>1</v>
      </c>
      <c r="AA189" s="58">
        <f>$Q$177</f>
        <v>0</v>
      </c>
      <c r="AB189" s="57">
        <f t="shared" ref="AB189:AB214" si="28">PRODUCT(W189:AA189)</f>
        <v>0</v>
      </c>
      <c r="AC189" s="53">
        <f t="shared" ref="AC189:AC214" si="29">AB189</f>
        <v>0</v>
      </c>
    </row>
    <row r="190" spans="10:29" x14ac:dyDescent="0.25">
      <c r="T190" s="63" t="s">
        <v>37</v>
      </c>
      <c r="U190" s="77" t="s">
        <v>78</v>
      </c>
      <c r="V190" s="64" t="s">
        <v>45</v>
      </c>
      <c r="W190" s="60">
        <f t="shared" si="9"/>
        <v>0.33333333333333331</v>
      </c>
      <c r="X190" s="54">
        <f t="shared" si="27"/>
        <v>0.1</v>
      </c>
      <c r="Y190" s="55">
        <f t="shared" si="26"/>
        <v>0.04</v>
      </c>
      <c r="Z190" s="55">
        <f>$P$171</f>
        <v>1</v>
      </c>
      <c r="AA190" s="59">
        <f>$R$177</f>
        <v>0</v>
      </c>
      <c r="AB190" s="57">
        <f t="shared" si="28"/>
        <v>0</v>
      </c>
      <c r="AC190" s="53">
        <f t="shared" si="29"/>
        <v>0</v>
      </c>
    </row>
    <row r="191" spans="10:29" x14ac:dyDescent="0.25">
      <c r="T191" s="63" t="s">
        <v>37</v>
      </c>
      <c r="U191" s="77" t="s">
        <v>78</v>
      </c>
      <c r="V191" s="64" t="s">
        <v>46</v>
      </c>
      <c r="W191" s="60">
        <f t="shared" si="9"/>
        <v>0.33333333333333331</v>
      </c>
      <c r="X191" s="54">
        <f t="shared" si="27"/>
        <v>0.1</v>
      </c>
      <c r="Y191" s="55">
        <f t="shared" si="26"/>
        <v>0.04</v>
      </c>
      <c r="Z191" s="58">
        <f>$Q$171</f>
        <v>0</v>
      </c>
      <c r="AA191" s="56">
        <f>$P$177</f>
        <v>1</v>
      </c>
      <c r="AB191" s="57">
        <f t="shared" si="28"/>
        <v>0</v>
      </c>
      <c r="AC191" s="53">
        <f t="shared" si="29"/>
        <v>0</v>
      </c>
    </row>
    <row r="192" spans="10:29" x14ac:dyDescent="0.25">
      <c r="T192" s="63" t="s">
        <v>37</v>
      </c>
      <c r="U192" s="77" t="s">
        <v>78</v>
      </c>
      <c r="V192" s="64" t="s">
        <v>47</v>
      </c>
      <c r="W192" s="60">
        <f t="shared" si="9"/>
        <v>0.33333333333333331</v>
      </c>
      <c r="X192" s="54">
        <f t="shared" si="27"/>
        <v>0.1</v>
      </c>
      <c r="Y192" s="55">
        <f t="shared" si="26"/>
        <v>0.04</v>
      </c>
      <c r="Z192" s="58">
        <f t="shared" ref="Z192:Z196" si="30">$Q$171</f>
        <v>0</v>
      </c>
      <c r="AA192" s="58">
        <f>$Q$177</f>
        <v>0</v>
      </c>
      <c r="AB192" s="57">
        <f t="shared" si="28"/>
        <v>0</v>
      </c>
      <c r="AC192" s="53">
        <f t="shared" si="29"/>
        <v>0</v>
      </c>
    </row>
    <row r="193" spans="20:29" x14ac:dyDescent="0.25">
      <c r="T193" s="63" t="s">
        <v>37</v>
      </c>
      <c r="U193" s="77" t="s">
        <v>78</v>
      </c>
      <c r="V193" s="64" t="s">
        <v>48</v>
      </c>
      <c r="W193" s="60">
        <f t="shared" si="9"/>
        <v>0.33333333333333331</v>
      </c>
      <c r="X193" s="54">
        <f t="shared" si="27"/>
        <v>0.1</v>
      </c>
      <c r="Y193" s="55">
        <f t="shared" si="26"/>
        <v>0.04</v>
      </c>
      <c r="Z193" s="58">
        <f t="shared" si="30"/>
        <v>0</v>
      </c>
      <c r="AA193" s="59">
        <f>$R$177</f>
        <v>0</v>
      </c>
      <c r="AB193" s="57">
        <f t="shared" si="28"/>
        <v>0</v>
      </c>
      <c r="AC193" s="53">
        <f t="shared" si="29"/>
        <v>0</v>
      </c>
    </row>
    <row r="194" spans="20:29" x14ac:dyDescent="0.25">
      <c r="T194" s="63" t="s">
        <v>37</v>
      </c>
      <c r="U194" s="77" t="s">
        <v>78</v>
      </c>
      <c r="V194" s="64" t="s">
        <v>49</v>
      </c>
      <c r="W194" s="60">
        <f t="shared" si="9"/>
        <v>0.33333333333333331</v>
      </c>
      <c r="X194" s="54">
        <f t="shared" si="27"/>
        <v>0.1</v>
      </c>
      <c r="Y194" s="55">
        <f t="shared" si="26"/>
        <v>0.04</v>
      </c>
      <c r="Z194" s="59">
        <f t="shared" si="30"/>
        <v>0</v>
      </c>
      <c r="AA194" s="56">
        <f>$P$177</f>
        <v>1</v>
      </c>
      <c r="AB194" s="57">
        <f t="shared" si="28"/>
        <v>0</v>
      </c>
      <c r="AC194" s="53">
        <f t="shared" si="29"/>
        <v>0</v>
      </c>
    </row>
    <row r="195" spans="20:29" x14ac:dyDescent="0.25">
      <c r="T195" s="63" t="s">
        <v>37</v>
      </c>
      <c r="U195" s="77" t="s">
        <v>78</v>
      </c>
      <c r="V195" s="64" t="s">
        <v>50</v>
      </c>
      <c r="W195" s="60">
        <f t="shared" si="9"/>
        <v>0.33333333333333331</v>
      </c>
      <c r="X195" s="54">
        <f t="shared" si="27"/>
        <v>0.1</v>
      </c>
      <c r="Y195" s="55">
        <f t="shared" si="26"/>
        <v>0.04</v>
      </c>
      <c r="Z195" s="59">
        <f t="shared" si="30"/>
        <v>0</v>
      </c>
      <c r="AA195" s="58">
        <f>$Q$177</f>
        <v>0</v>
      </c>
      <c r="AB195" s="57">
        <f t="shared" si="28"/>
        <v>0</v>
      </c>
      <c r="AC195" s="53">
        <f t="shared" si="29"/>
        <v>0</v>
      </c>
    </row>
    <row r="196" spans="20:29" x14ac:dyDescent="0.25">
      <c r="T196" s="63" t="s">
        <v>37</v>
      </c>
      <c r="U196" s="77" t="s">
        <v>78</v>
      </c>
      <c r="V196" s="64" t="s">
        <v>55</v>
      </c>
      <c r="W196" s="60">
        <f t="shared" si="9"/>
        <v>0.33333333333333331</v>
      </c>
      <c r="X196" s="54">
        <f t="shared" si="27"/>
        <v>0.1</v>
      </c>
      <c r="Y196" s="55">
        <f t="shared" si="26"/>
        <v>0.04</v>
      </c>
      <c r="Z196" s="59">
        <f t="shared" si="30"/>
        <v>0</v>
      </c>
      <c r="AA196" s="59">
        <f>$R$177</f>
        <v>0</v>
      </c>
      <c r="AB196" s="57">
        <f t="shared" si="28"/>
        <v>0</v>
      </c>
      <c r="AC196" s="53">
        <f t="shared" si="29"/>
        <v>0</v>
      </c>
    </row>
    <row r="197" spans="20:29" x14ac:dyDescent="0.25">
      <c r="T197" s="68" t="s">
        <v>37</v>
      </c>
      <c r="U197" s="75" t="s">
        <v>78</v>
      </c>
      <c r="V197" s="65" t="s">
        <v>56</v>
      </c>
      <c r="W197" s="60">
        <f t="shared" si="9"/>
        <v>0.33333333333333331</v>
      </c>
      <c r="X197" s="54">
        <f t="shared" si="27"/>
        <v>0.1</v>
      </c>
      <c r="Y197" s="79">
        <f>$Q$165</f>
        <v>0.32</v>
      </c>
      <c r="Z197" s="55">
        <f>$P$171</f>
        <v>1</v>
      </c>
      <c r="AA197" s="56">
        <f>$P$177</f>
        <v>1</v>
      </c>
      <c r="AB197" s="57">
        <f t="shared" si="28"/>
        <v>1.0666666666666666E-2</v>
      </c>
      <c r="AC197" s="53">
        <f t="shared" si="29"/>
        <v>1.0666666666666666E-2</v>
      </c>
    </row>
    <row r="198" spans="20:29" x14ac:dyDescent="0.25">
      <c r="T198" s="68" t="s">
        <v>37</v>
      </c>
      <c r="U198" s="75" t="s">
        <v>78</v>
      </c>
      <c r="V198" s="65" t="s">
        <v>57</v>
      </c>
      <c r="W198" s="60">
        <f t="shared" si="9"/>
        <v>0.33333333333333331</v>
      </c>
      <c r="X198" s="54">
        <f t="shared" si="27"/>
        <v>0.1</v>
      </c>
      <c r="Y198" s="79">
        <f>$Q$165</f>
        <v>0.32</v>
      </c>
      <c r="Z198" s="55">
        <f>$P$171</f>
        <v>1</v>
      </c>
      <c r="AA198" s="58">
        <f>$Q$177</f>
        <v>0</v>
      </c>
      <c r="AB198" s="57">
        <f t="shared" si="28"/>
        <v>0</v>
      </c>
      <c r="AC198" s="53">
        <f t="shared" si="29"/>
        <v>0</v>
      </c>
    </row>
    <row r="199" spans="20:29" x14ac:dyDescent="0.25">
      <c r="T199" s="68" t="s">
        <v>37</v>
      </c>
      <c r="U199" s="75" t="s">
        <v>78</v>
      </c>
      <c r="V199" s="65" t="s">
        <v>58</v>
      </c>
      <c r="W199" s="60">
        <f t="shared" si="9"/>
        <v>0.33333333333333331</v>
      </c>
      <c r="X199" s="54">
        <f t="shared" si="27"/>
        <v>0.1</v>
      </c>
      <c r="Y199" s="79">
        <f t="shared" ref="Y199:Y205" si="31">$Q$165</f>
        <v>0.32</v>
      </c>
      <c r="Z199" s="55">
        <f>$P$171</f>
        <v>1</v>
      </c>
      <c r="AA199" s="59">
        <f>$R$177</f>
        <v>0</v>
      </c>
      <c r="AB199" s="57">
        <f t="shared" si="28"/>
        <v>0</v>
      </c>
      <c r="AC199" s="53">
        <f t="shared" si="29"/>
        <v>0</v>
      </c>
    </row>
    <row r="200" spans="20:29" x14ac:dyDescent="0.25">
      <c r="T200" s="68" t="s">
        <v>37</v>
      </c>
      <c r="U200" s="75" t="s">
        <v>78</v>
      </c>
      <c r="V200" s="65" t="s">
        <v>59</v>
      </c>
      <c r="W200" s="60">
        <f t="shared" si="9"/>
        <v>0.33333333333333331</v>
      </c>
      <c r="X200" s="54">
        <f t="shared" si="27"/>
        <v>0.1</v>
      </c>
      <c r="Y200" s="79">
        <f t="shared" si="31"/>
        <v>0.32</v>
      </c>
      <c r="Z200" s="58">
        <f>$Q$171</f>
        <v>0</v>
      </c>
      <c r="AA200" s="56">
        <f>$P$177</f>
        <v>1</v>
      </c>
      <c r="AB200" s="57">
        <f t="shared" si="28"/>
        <v>0</v>
      </c>
      <c r="AC200" s="53">
        <f t="shared" si="29"/>
        <v>0</v>
      </c>
    </row>
    <row r="201" spans="20:29" x14ac:dyDescent="0.25">
      <c r="T201" s="68" t="s">
        <v>37</v>
      </c>
      <c r="U201" s="75" t="s">
        <v>78</v>
      </c>
      <c r="V201" s="65" t="s">
        <v>60</v>
      </c>
      <c r="W201" s="60">
        <f t="shared" si="9"/>
        <v>0.33333333333333331</v>
      </c>
      <c r="X201" s="54">
        <f t="shared" si="27"/>
        <v>0.1</v>
      </c>
      <c r="Y201" s="79">
        <f t="shared" si="31"/>
        <v>0.32</v>
      </c>
      <c r="Z201" s="58">
        <f t="shared" ref="Z201:Z205" si="32">$Q$171</f>
        <v>0</v>
      </c>
      <c r="AA201" s="58">
        <f>$Q$177</f>
        <v>0</v>
      </c>
      <c r="AB201" s="57">
        <f t="shared" si="28"/>
        <v>0</v>
      </c>
      <c r="AC201" s="53">
        <f t="shared" si="29"/>
        <v>0</v>
      </c>
    </row>
    <row r="202" spans="20:29" x14ac:dyDescent="0.25">
      <c r="T202" s="68" t="s">
        <v>37</v>
      </c>
      <c r="U202" s="75" t="s">
        <v>78</v>
      </c>
      <c r="V202" s="65" t="s">
        <v>65</v>
      </c>
      <c r="W202" s="60">
        <f t="shared" si="9"/>
        <v>0.33333333333333331</v>
      </c>
      <c r="X202" s="54">
        <f t="shared" si="27"/>
        <v>0.1</v>
      </c>
      <c r="Y202" s="79">
        <f t="shared" si="31"/>
        <v>0.32</v>
      </c>
      <c r="Z202" s="58">
        <f t="shared" si="32"/>
        <v>0</v>
      </c>
      <c r="AA202" s="59">
        <f>$R$177</f>
        <v>0</v>
      </c>
      <c r="AB202" s="57">
        <f t="shared" si="28"/>
        <v>0</v>
      </c>
      <c r="AC202" s="53">
        <f t="shared" si="29"/>
        <v>0</v>
      </c>
    </row>
    <row r="203" spans="20:29" x14ac:dyDescent="0.25">
      <c r="T203" s="68" t="s">
        <v>37</v>
      </c>
      <c r="U203" s="75" t="s">
        <v>78</v>
      </c>
      <c r="V203" s="65" t="s">
        <v>66</v>
      </c>
      <c r="W203" s="60">
        <f t="shared" si="9"/>
        <v>0.33333333333333331</v>
      </c>
      <c r="X203" s="54">
        <f t="shared" si="27"/>
        <v>0.1</v>
      </c>
      <c r="Y203" s="79">
        <f t="shared" si="31"/>
        <v>0.32</v>
      </c>
      <c r="Z203" s="59">
        <f t="shared" si="32"/>
        <v>0</v>
      </c>
      <c r="AA203" s="56">
        <f>$P$177</f>
        <v>1</v>
      </c>
      <c r="AB203" s="57">
        <f t="shared" si="28"/>
        <v>0</v>
      </c>
      <c r="AC203" s="53">
        <f t="shared" si="29"/>
        <v>0</v>
      </c>
    </row>
    <row r="204" spans="20:29" x14ac:dyDescent="0.25">
      <c r="T204" s="68" t="s">
        <v>37</v>
      </c>
      <c r="U204" s="75" t="s">
        <v>78</v>
      </c>
      <c r="V204" s="65" t="s">
        <v>67</v>
      </c>
      <c r="W204" s="60">
        <f t="shared" si="9"/>
        <v>0.33333333333333331</v>
      </c>
      <c r="X204" s="54">
        <f t="shared" si="27"/>
        <v>0.1</v>
      </c>
      <c r="Y204" s="79">
        <f t="shared" si="31"/>
        <v>0.32</v>
      </c>
      <c r="Z204" s="59">
        <f t="shared" si="32"/>
        <v>0</v>
      </c>
      <c r="AA204" s="58">
        <f>$Q$177</f>
        <v>0</v>
      </c>
      <c r="AB204" s="57">
        <f t="shared" si="28"/>
        <v>0</v>
      </c>
      <c r="AC204" s="53">
        <f t="shared" si="29"/>
        <v>0</v>
      </c>
    </row>
    <row r="205" spans="20:29" x14ac:dyDescent="0.25">
      <c r="T205" s="68" t="s">
        <v>37</v>
      </c>
      <c r="U205" s="75" t="s">
        <v>78</v>
      </c>
      <c r="V205" s="65" t="s">
        <v>68</v>
      </c>
      <c r="W205" s="60">
        <f t="shared" si="9"/>
        <v>0.33333333333333331</v>
      </c>
      <c r="X205" s="54">
        <f t="shared" si="27"/>
        <v>0.1</v>
      </c>
      <c r="Y205" s="79">
        <f t="shared" si="31"/>
        <v>0.32</v>
      </c>
      <c r="Z205" s="59">
        <f t="shared" si="32"/>
        <v>0</v>
      </c>
      <c r="AA205" s="59">
        <f>$R$177</f>
        <v>0</v>
      </c>
      <c r="AB205" s="57">
        <f t="shared" si="28"/>
        <v>0</v>
      </c>
      <c r="AC205" s="53">
        <f t="shared" si="29"/>
        <v>0</v>
      </c>
    </row>
    <row r="206" spans="20:29" x14ac:dyDescent="0.25">
      <c r="T206" s="69" t="s">
        <v>37</v>
      </c>
      <c r="U206" s="76" t="s">
        <v>78</v>
      </c>
      <c r="V206" s="66" t="s">
        <v>69</v>
      </c>
      <c r="W206" s="60">
        <f t="shared" si="9"/>
        <v>0.33333333333333331</v>
      </c>
      <c r="X206" s="54">
        <f t="shared" si="27"/>
        <v>0.1</v>
      </c>
      <c r="Y206" s="80">
        <f>$R$165</f>
        <v>0.64</v>
      </c>
      <c r="Z206" s="55">
        <f>$P$171</f>
        <v>1</v>
      </c>
      <c r="AA206" s="56">
        <f>$P$177</f>
        <v>1</v>
      </c>
      <c r="AB206" s="57">
        <f t="shared" si="28"/>
        <v>2.1333333333333333E-2</v>
      </c>
      <c r="AC206" s="53">
        <f t="shared" si="29"/>
        <v>2.1333333333333333E-2</v>
      </c>
    </row>
    <row r="207" spans="20:29" x14ac:dyDescent="0.25">
      <c r="T207" s="69" t="s">
        <v>37</v>
      </c>
      <c r="U207" s="76" t="s">
        <v>78</v>
      </c>
      <c r="V207" s="66" t="s">
        <v>70</v>
      </c>
      <c r="W207" s="60">
        <f t="shared" si="9"/>
        <v>0.33333333333333331</v>
      </c>
      <c r="X207" s="54">
        <f t="shared" si="27"/>
        <v>0.1</v>
      </c>
      <c r="Y207" s="80">
        <f t="shared" ref="Y207:Y214" si="33">$R$165</f>
        <v>0.64</v>
      </c>
      <c r="Z207" s="55">
        <f>$P$171</f>
        <v>1</v>
      </c>
      <c r="AA207" s="58">
        <f>$Q$177</f>
        <v>0</v>
      </c>
      <c r="AB207" s="57">
        <f t="shared" si="28"/>
        <v>0</v>
      </c>
      <c r="AC207" s="53">
        <f t="shared" si="29"/>
        <v>0</v>
      </c>
    </row>
    <row r="208" spans="20:29" x14ac:dyDescent="0.25">
      <c r="T208" s="69" t="s">
        <v>37</v>
      </c>
      <c r="U208" s="76" t="s">
        <v>78</v>
      </c>
      <c r="V208" s="66" t="s">
        <v>71</v>
      </c>
      <c r="W208" s="60">
        <f t="shared" si="9"/>
        <v>0.33333333333333331</v>
      </c>
      <c r="X208" s="54">
        <f t="shared" si="27"/>
        <v>0.1</v>
      </c>
      <c r="Y208" s="80">
        <f t="shared" si="33"/>
        <v>0.64</v>
      </c>
      <c r="Z208" s="55">
        <f>$P$171</f>
        <v>1</v>
      </c>
      <c r="AA208" s="59">
        <f>$R$177</f>
        <v>0</v>
      </c>
      <c r="AB208" s="57">
        <f t="shared" si="28"/>
        <v>0</v>
      </c>
      <c r="AC208" s="53">
        <f t="shared" si="29"/>
        <v>0</v>
      </c>
    </row>
    <row r="209" spans="20:29" x14ac:dyDescent="0.25">
      <c r="T209" s="69" t="s">
        <v>37</v>
      </c>
      <c r="U209" s="76" t="s">
        <v>78</v>
      </c>
      <c r="V209" s="66" t="s">
        <v>72</v>
      </c>
      <c r="W209" s="60">
        <f t="shared" si="9"/>
        <v>0.33333333333333331</v>
      </c>
      <c r="X209" s="54">
        <f t="shared" si="27"/>
        <v>0.1</v>
      </c>
      <c r="Y209" s="80">
        <f t="shared" si="33"/>
        <v>0.64</v>
      </c>
      <c r="Z209" s="58">
        <f>$Q$171</f>
        <v>0</v>
      </c>
      <c r="AA209" s="56">
        <f>$P$177</f>
        <v>1</v>
      </c>
      <c r="AB209" s="57">
        <f t="shared" si="28"/>
        <v>0</v>
      </c>
      <c r="AC209" s="53">
        <f t="shared" si="29"/>
        <v>0</v>
      </c>
    </row>
    <row r="210" spans="20:29" x14ac:dyDescent="0.25">
      <c r="T210" s="69" t="s">
        <v>37</v>
      </c>
      <c r="U210" s="76" t="s">
        <v>78</v>
      </c>
      <c r="V210" s="66" t="s">
        <v>73</v>
      </c>
      <c r="W210" s="60">
        <f t="shared" si="9"/>
        <v>0.33333333333333331</v>
      </c>
      <c r="X210" s="54">
        <f t="shared" si="27"/>
        <v>0.1</v>
      </c>
      <c r="Y210" s="80">
        <f t="shared" si="33"/>
        <v>0.64</v>
      </c>
      <c r="Z210" s="58">
        <f t="shared" ref="Z210:Z214" si="34">$Q$171</f>
        <v>0</v>
      </c>
      <c r="AA210" s="58">
        <f>$Q$177</f>
        <v>0</v>
      </c>
      <c r="AB210" s="57">
        <f t="shared" si="28"/>
        <v>0</v>
      </c>
      <c r="AC210" s="53">
        <f t="shared" si="29"/>
        <v>0</v>
      </c>
    </row>
    <row r="211" spans="20:29" x14ac:dyDescent="0.25">
      <c r="T211" s="69" t="s">
        <v>37</v>
      </c>
      <c r="U211" s="76" t="s">
        <v>78</v>
      </c>
      <c r="V211" s="66" t="s">
        <v>74</v>
      </c>
      <c r="W211" s="60">
        <f t="shared" si="9"/>
        <v>0.33333333333333331</v>
      </c>
      <c r="X211" s="54">
        <f t="shared" si="27"/>
        <v>0.1</v>
      </c>
      <c r="Y211" s="80">
        <f t="shared" si="33"/>
        <v>0.64</v>
      </c>
      <c r="Z211" s="58">
        <f t="shared" si="34"/>
        <v>0</v>
      </c>
      <c r="AA211" s="59">
        <f>$R$177</f>
        <v>0</v>
      </c>
      <c r="AB211" s="57">
        <f t="shared" si="28"/>
        <v>0</v>
      </c>
      <c r="AC211" s="53">
        <f t="shared" si="29"/>
        <v>0</v>
      </c>
    </row>
    <row r="212" spans="20:29" x14ac:dyDescent="0.25">
      <c r="T212" s="69" t="s">
        <v>37</v>
      </c>
      <c r="U212" s="76" t="s">
        <v>78</v>
      </c>
      <c r="V212" s="66" t="s">
        <v>75</v>
      </c>
      <c r="W212" s="60">
        <f t="shared" si="9"/>
        <v>0.33333333333333331</v>
      </c>
      <c r="X212" s="54">
        <f t="shared" si="27"/>
        <v>0.1</v>
      </c>
      <c r="Y212" s="80">
        <f t="shared" si="33"/>
        <v>0.64</v>
      </c>
      <c r="Z212" s="59">
        <f t="shared" si="34"/>
        <v>0</v>
      </c>
      <c r="AA212" s="56">
        <f>$P$177</f>
        <v>1</v>
      </c>
      <c r="AB212" s="57">
        <f t="shared" si="28"/>
        <v>0</v>
      </c>
      <c r="AC212" s="53">
        <f t="shared" si="29"/>
        <v>0</v>
      </c>
    </row>
    <row r="213" spans="20:29" x14ac:dyDescent="0.25">
      <c r="T213" s="69" t="s">
        <v>37</v>
      </c>
      <c r="U213" s="76" t="s">
        <v>78</v>
      </c>
      <c r="V213" s="66" t="s">
        <v>76</v>
      </c>
      <c r="W213" s="60">
        <f t="shared" si="9"/>
        <v>0.33333333333333331</v>
      </c>
      <c r="X213" s="54">
        <f t="shared" si="27"/>
        <v>0.1</v>
      </c>
      <c r="Y213" s="80">
        <f t="shared" si="33"/>
        <v>0.64</v>
      </c>
      <c r="Z213" s="59">
        <f t="shared" si="34"/>
        <v>0</v>
      </c>
      <c r="AA213" s="58">
        <f>$Q$177</f>
        <v>0</v>
      </c>
      <c r="AB213" s="57">
        <f t="shared" si="28"/>
        <v>0</v>
      </c>
      <c r="AC213" s="53">
        <f t="shared" si="29"/>
        <v>0</v>
      </c>
    </row>
    <row r="214" spans="20:29" x14ac:dyDescent="0.25">
      <c r="T214" s="70" t="s">
        <v>37</v>
      </c>
      <c r="U214" s="76" t="s">
        <v>78</v>
      </c>
      <c r="V214" s="67" t="s">
        <v>77</v>
      </c>
      <c r="W214" s="60">
        <f t="shared" si="9"/>
        <v>0.33333333333333331</v>
      </c>
      <c r="X214" s="54">
        <f t="shared" si="27"/>
        <v>0.1</v>
      </c>
      <c r="Y214" s="80">
        <f t="shared" si="33"/>
        <v>0.64</v>
      </c>
      <c r="Z214" s="59">
        <f t="shared" si="34"/>
        <v>0</v>
      </c>
      <c r="AA214" s="59">
        <f>$R$177</f>
        <v>0</v>
      </c>
      <c r="AB214" s="57">
        <f t="shared" si="28"/>
        <v>0</v>
      </c>
      <c r="AC214" s="53">
        <f t="shared" si="29"/>
        <v>0</v>
      </c>
    </row>
    <row r="215" spans="20:29" x14ac:dyDescent="0.25">
      <c r="T215" s="61" t="s">
        <v>37</v>
      </c>
      <c r="U215" s="77" t="s">
        <v>79</v>
      </c>
      <c r="V215" s="62" t="s">
        <v>39</v>
      </c>
      <c r="W215" s="60">
        <f>$M$153</f>
        <v>0.33333333333333331</v>
      </c>
      <c r="X215" s="54">
        <f>$R$159</f>
        <v>0</v>
      </c>
      <c r="Y215" s="55">
        <f t="shared" ref="Y215:Y223" si="35">$P$165</f>
        <v>0.04</v>
      </c>
      <c r="Z215" s="55">
        <f>$P$171</f>
        <v>1</v>
      </c>
      <c r="AA215" s="56">
        <f>$P$177</f>
        <v>1</v>
      </c>
      <c r="AB215" s="57">
        <f>PRODUCT(W215:AA215)</f>
        <v>0</v>
      </c>
      <c r="AC215" s="53">
        <f>AB215</f>
        <v>0</v>
      </c>
    </row>
    <row r="216" spans="20:29" x14ac:dyDescent="0.25">
      <c r="T216" s="63" t="s">
        <v>37</v>
      </c>
      <c r="U216" s="77" t="s">
        <v>79</v>
      </c>
      <c r="V216" s="64" t="s">
        <v>40</v>
      </c>
      <c r="W216" s="60">
        <f t="shared" si="9"/>
        <v>0.33333333333333331</v>
      </c>
      <c r="X216" s="54">
        <f t="shared" ref="X216:X241" si="36">$R$159</f>
        <v>0</v>
      </c>
      <c r="Y216" s="55">
        <f t="shared" si="35"/>
        <v>0.04</v>
      </c>
      <c r="Z216" s="55">
        <f>$P$171</f>
        <v>1</v>
      </c>
      <c r="AA216" s="58">
        <f>$Q$177</f>
        <v>0</v>
      </c>
      <c r="AB216" s="57">
        <f t="shared" ref="AB216:AB241" si="37">PRODUCT(W216:AA216)</f>
        <v>0</v>
      </c>
      <c r="AC216" s="53">
        <f t="shared" ref="AC216:AC241" si="38">AB216</f>
        <v>0</v>
      </c>
    </row>
    <row r="217" spans="20:29" x14ac:dyDescent="0.25">
      <c r="T217" s="63" t="s">
        <v>37</v>
      </c>
      <c r="U217" s="77" t="s">
        <v>79</v>
      </c>
      <c r="V217" s="64" t="s">
        <v>45</v>
      </c>
      <c r="W217" s="60">
        <f t="shared" si="9"/>
        <v>0.33333333333333331</v>
      </c>
      <c r="X217" s="54">
        <f t="shared" si="36"/>
        <v>0</v>
      </c>
      <c r="Y217" s="55">
        <f t="shared" si="35"/>
        <v>0.04</v>
      </c>
      <c r="Z217" s="55">
        <f>$P$171</f>
        <v>1</v>
      </c>
      <c r="AA217" s="59">
        <f>$R$177</f>
        <v>0</v>
      </c>
      <c r="AB217" s="57">
        <f t="shared" si="37"/>
        <v>0</v>
      </c>
      <c r="AC217" s="53">
        <f t="shared" si="38"/>
        <v>0</v>
      </c>
    </row>
    <row r="218" spans="20:29" x14ac:dyDescent="0.25">
      <c r="T218" s="63" t="s">
        <v>37</v>
      </c>
      <c r="U218" s="77" t="s">
        <v>79</v>
      </c>
      <c r="V218" s="64" t="s">
        <v>46</v>
      </c>
      <c r="W218" s="60">
        <f t="shared" si="9"/>
        <v>0.33333333333333331</v>
      </c>
      <c r="X218" s="54">
        <f t="shared" si="36"/>
        <v>0</v>
      </c>
      <c r="Y218" s="55">
        <f t="shared" si="35"/>
        <v>0.04</v>
      </c>
      <c r="Z218" s="58">
        <f>$Q$171</f>
        <v>0</v>
      </c>
      <c r="AA218" s="56">
        <f>$P$177</f>
        <v>1</v>
      </c>
      <c r="AB218" s="57">
        <f t="shared" si="37"/>
        <v>0</v>
      </c>
      <c r="AC218" s="53">
        <f t="shared" si="38"/>
        <v>0</v>
      </c>
    </row>
    <row r="219" spans="20:29" x14ac:dyDescent="0.25">
      <c r="T219" s="63" t="s">
        <v>37</v>
      </c>
      <c r="U219" s="77" t="s">
        <v>79</v>
      </c>
      <c r="V219" s="64" t="s">
        <v>47</v>
      </c>
      <c r="W219" s="60">
        <f t="shared" si="9"/>
        <v>0.33333333333333331</v>
      </c>
      <c r="X219" s="54">
        <f t="shared" si="36"/>
        <v>0</v>
      </c>
      <c r="Y219" s="55">
        <f t="shared" si="35"/>
        <v>0.04</v>
      </c>
      <c r="Z219" s="58">
        <f t="shared" ref="Z219:Z223" si="39">$Q$171</f>
        <v>0</v>
      </c>
      <c r="AA219" s="58">
        <f>$Q$177</f>
        <v>0</v>
      </c>
      <c r="AB219" s="57">
        <f t="shared" si="37"/>
        <v>0</v>
      </c>
      <c r="AC219" s="53">
        <f t="shared" si="38"/>
        <v>0</v>
      </c>
    </row>
    <row r="220" spans="20:29" x14ac:dyDescent="0.25">
      <c r="T220" s="63" t="s">
        <v>37</v>
      </c>
      <c r="U220" s="77" t="s">
        <v>79</v>
      </c>
      <c r="V220" s="64" t="s">
        <v>48</v>
      </c>
      <c r="W220" s="60">
        <f t="shared" si="9"/>
        <v>0.33333333333333331</v>
      </c>
      <c r="X220" s="54">
        <f t="shared" si="36"/>
        <v>0</v>
      </c>
      <c r="Y220" s="55">
        <f t="shared" si="35"/>
        <v>0.04</v>
      </c>
      <c r="Z220" s="58">
        <f t="shared" si="39"/>
        <v>0</v>
      </c>
      <c r="AA220" s="59">
        <f>$R$177</f>
        <v>0</v>
      </c>
      <c r="AB220" s="57">
        <f t="shared" si="37"/>
        <v>0</v>
      </c>
      <c r="AC220" s="53">
        <f t="shared" si="38"/>
        <v>0</v>
      </c>
    </row>
    <row r="221" spans="20:29" x14ac:dyDescent="0.25">
      <c r="T221" s="63" t="s">
        <v>37</v>
      </c>
      <c r="U221" s="77" t="s">
        <v>79</v>
      </c>
      <c r="V221" s="64" t="s">
        <v>49</v>
      </c>
      <c r="W221" s="60">
        <f t="shared" si="9"/>
        <v>0.33333333333333331</v>
      </c>
      <c r="X221" s="54">
        <f t="shared" si="36"/>
        <v>0</v>
      </c>
      <c r="Y221" s="55">
        <f t="shared" si="35"/>
        <v>0.04</v>
      </c>
      <c r="Z221" s="59">
        <f t="shared" si="39"/>
        <v>0</v>
      </c>
      <c r="AA221" s="56">
        <f>$P$177</f>
        <v>1</v>
      </c>
      <c r="AB221" s="57">
        <f t="shared" si="37"/>
        <v>0</v>
      </c>
      <c r="AC221" s="53">
        <f t="shared" si="38"/>
        <v>0</v>
      </c>
    </row>
    <row r="222" spans="20:29" x14ac:dyDescent="0.25">
      <c r="T222" s="63" t="s">
        <v>37</v>
      </c>
      <c r="U222" s="77" t="s">
        <v>79</v>
      </c>
      <c r="V222" s="64" t="s">
        <v>50</v>
      </c>
      <c r="W222" s="60">
        <f t="shared" si="9"/>
        <v>0.33333333333333331</v>
      </c>
      <c r="X222" s="54">
        <f t="shared" si="36"/>
        <v>0</v>
      </c>
      <c r="Y222" s="55">
        <f t="shared" si="35"/>
        <v>0.04</v>
      </c>
      <c r="Z222" s="59">
        <f t="shared" si="39"/>
        <v>0</v>
      </c>
      <c r="AA222" s="58">
        <f>$Q$177</f>
        <v>0</v>
      </c>
      <c r="AB222" s="57">
        <f t="shared" si="37"/>
        <v>0</v>
      </c>
      <c r="AC222" s="53">
        <f t="shared" si="38"/>
        <v>0</v>
      </c>
    </row>
    <row r="223" spans="20:29" x14ac:dyDescent="0.25">
      <c r="T223" s="63" t="s">
        <v>37</v>
      </c>
      <c r="U223" s="77" t="s">
        <v>79</v>
      </c>
      <c r="V223" s="64" t="s">
        <v>55</v>
      </c>
      <c r="W223" s="60">
        <f t="shared" si="9"/>
        <v>0.33333333333333331</v>
      </c>
      <c r="X223" s="54">
        <f t="shared" si="36"/>
        <v>0</v>
      </c>
      <c r="Y223" s="55">
        <f t="shared" si="35"/>
        <v>0.04</v>
      </c>
      <c r="Z223" s="59">
        <f t="shared" si="39"/>
        <v>0</v>
      </c>
      <c r="AA223" s="59">
        <f>$R$177</f>
        <v>0</v>
      </c>
      <c r="AB223" s="57">
        <f t="shared" si="37"/>
        <v>0</v>
      </c>
      <c r="AC223" s="53">
        <f t="shared" si="38"/>
        <v>0</v>
      </c>
    </row>
    <row r="224" spans="20:29" x14ac:dyDescent="0.25">
      <c r="T224" s="68" t="s">
        <v>37</v>
      </c>
      <c r="U224" s="75" t="s">
        <v>79</v>
      </c>
      <c r="V224" s="65" t="s">
        <v>56</v>
      </c>
      <c r="W224" s="60">
        <f t="shared" si="9"/>
        <v>0.33333333333333331</v>
      </c>
      <c r="X224" s="54">
        <f t="shared" si="36"/>
        <v>0</v>
      </c>
      <c r="Y224" s="79">
        <f>$Q$165</f>
        <v>0.32</v>
      </c>
      <c r="Z224" s="55">
        <f>$P$171</f>
        <v>1</v>
      </c>
      <c r="AA224" s="56">
        <f>$P$177</f>
        <v>1</v>
      </c>
      <c r="AB224" s="57">
        <f t="shared" si="37"/>
        <v>0</v>
      </c>
      <c r="AC224" s="53">
        <f t="shared" si="38"/>
        <v>0</v>
      </c>
    </row>
    <row r="225" spans="19:29" x14ac:dyDescent="0.25">
      <c r="T225" s="68" t="s">
        <v>37</v>
      </c>
      <c r="U225" s="75" t="s">
        <v>79</v>
      </c>
      <c r="V225" s="65" t="s">
        <v>57</v>
      </c>
      <c r="W225" s="60">
        <f t="shared" si="9"/>
        <v>0.33333333333333331</v>
      </c>
      <c r="X225" s="54">
        <f t="shared" si="36"/>
        <v>0</v>
      </c>
      <c r="Y225" s="79">
        <f>$Q$165</f>
        <v>0.32</v>
      </c>
      <c r="Z225" s="55">
        <f>$P$171</f>
        <v>1</v>
      </c>
      <c r="AA225" s="58">
        <f>$Q$177</f>
        <v>0</v>
      </c>
      <c r="AB225" s="57">
        <f t="shared" si="37"/>
        <v>0</v>
      </c>
      <c r="AC225" s="53">
        <f t="shared" si="38"/>
        <v>0</v>
      </c>
    </row>
    <row r="226" spans="19:29" x14ac:dyDescent="0.25">
      <c r="T226" s="68" t="s">
        <v>37</v>
      </c>
      <c r="U226" s="75" t="s">
        <v>79</v>
      </c>
      <c r="V226" s="65" t="s">
        <v>58</v>
      </c>
      <c r="W226" s="60">
        <f t="shared" ref="W226:W241" si="40">$M$153</f>
        <v>0.33333333333333331</v>
      </c>
      <c r="X226" s="54">
        <f t="shared" si="36"/>
        <v>0</v>
      </c>
      <c r="Y226" s="79">
        <f t="shared" ref="Y226:Y232" si="41">$Q$165</f>
        <v>0.32</v>
      </c>
      <c r="Z226" s="55">
        <f>$P$171</f>
        <v>1</v>
      </c>
      <c r="AA226" s="59">
        <f>$R$177</f>
        <v>0</v>
      </c>
      <c r="AB226" s="57">
        <f t="shared" si="37"/>
        <v>0</v>
      </c>
      <c r="AC226" s="53">
        <f t="shared" si="38"/>
        <v>0</v>
      </c>
    </row>
    <row r="227" spans="19:29" x14ac:dyDescent="0.25">
      <c r="T227" s="68" t="s">
        <v>37</v>
      </c>
      <c r="U227" s="75" t="s">
        <v>79</v>
      </c>
      <c r="V227" s="65" t="s">
        <v>59</v>
      </c>
      <c r="W227" s="60">
        <f t="shared" si="40"/>
        <v>0.33333333333333331</v>
      </c>
      <c r="X227" s="54">
        <f t="shared" si="36"/>
        <v>0</v>
      </c>
      <c r="Y227" s="79">
        <f t="shared" si="41"/>
        <v>0.32</v>
      </c>
      <c r="Z227" s="58">
        <f>$Q$171</f>
        <v>0</v>
      </c>
      <c r="AA227" s="56">
        <f>$P$177</f>
        <v>1</v>
      </c>
      <c r="AB227" s="57">
        <f t="shared" si="37"/>
        <v>0</v>
      </c>
      <c r="AC227" s="53">
        <f t="shared" si="38"/>
        <v>0</v>
      </c>
    </row>
    <row r="228" spans="19:29" x14ac:dyDescent="0.25">
      <c r="T228" s="68" t="s">
        <v>37</v>
      </c>
      <c r="U228" s="75" t="s">
        <v>79</v>
      </c>
      <c r="V228" s="65" t="s">
        <v>60</v>
      </c>
      <c r="W228" s="60">
        <f t="shared" si="40"/>
        <v>0.33333333333333331</v>
      </c>
      <c r="X228" s="54">
        <f t="shared" si="36"/>
        <v>0</v>
      </c>
      <c r="Y228" s="79">
        <f t="shared" si="41"/>
        <v>0.32</v>
      </c>
      <c r="Z228" s="58">
        <f t="shared" ref="Z228:Z232" si="42">$Q$171</f>
        <v>0</v>
      </c>
      <c r="AA228" s="58">
        <f>$Q$177</f>
        <v>0</v>
      </c>
      <c r="AB228" s="57">
        <f t="shared" si="37"/>
        <v>0</v>
      </c>
      <c r="AC228" s="53">
        <f t="shared" si="38"/>
        <v>0</v>
      </c>
    </row>
    <row r="229" spans="19:29" x14ac:dyDescent="0.25">
      <c r="T229" s="68" t="s">
        <v>37</v>
      </c>
      <c r="U229" s="75" t="s">
        <v>79</v>
      </c>
      <c r="V229" s="65" t="s">
        <v>65</v>
      </c>
      <c r="W229" s="60">
        <f t="shared" si="40"/>
        <v>0.33333333333333331</v>
      </c>
      <c r="X229" s="54">
        <f t="shared" si="36"/>
        <v>0</v>
      </c>
      <c r="Y229" s="79">
        <f t="shared" si="41"/>
        <v>0.32</v>
      </c>
      <c r="Z229" s="58">
        <f t="shared" si="42"/>
        <v>0</v>
      </c>
      <c r="AA229" s="59">
        <f>$R$177</f>
        <v>0</v>
      </c>
      <c r="AB229" s="57">
        <f t="shared" si="37"/>
        <v>0</v>
      </c>
      <c r="AC229" s="53">
        <f t="shared" si="38"/>
        <v>0</v>
      </c>
    </row>
    <row r="230" spans="19:29" x14ac:dyDescent="0.25">
      <c r="T230" s="68" t="s">
        <v>37</v>
      </c>
      <c r="U230" s="75" t="s">
        <v>79</v>
      </c>
      <c r="V230" s="65" t="s">
        <v>66</v>
      </c>
      <c r="W230" s="60">
        <f t="shared" si="40"/>
        <v>0.33333333333333331</v>
      </c>
      <c r="X230" s="54">
        <f t="shared" si="36"/>
        <v>0</v>
      </c>
      <c r="Y230" s="79">
        <f t="shared" si="41"/>
        <v>0.32</v>
      </c>
      <c r="Z230" s="59">
        <f t="shared" si="42"/>
        <v>0</v>
      </c>
      <c r="AA230" s="56">
        <f>$P$177</f>
        <v>1</v>
      </c>
      <c r="AB230" s="57">
        <f t="shared" si="37"/>
        <v>0</v>
      </c>
      <c r="AC230" s="53">
        <f t="shared" si="38"/>
        <v>0</v>
      </c>
    </row>
    <row r="231" spans="19:29" x14ac:dyDescent="0.25">
      <c r="T231" s="68" t="s">
        <v>37</v>
      </c>
      <c r="U231" s="75" t="s">
        <v>79</v>
      </c>
      <c r="V231" s="65" t="s">
        <v>67</v>
      </c>
      <c r="W231" s="60">
        <f t="shared" si="40"/>
        <v>0.33333333333333331</v>
      </c>
      <c r="X231" s="54">
        <f t="shared" si="36"/>
        <v>0</v>
      </c>
      <c r="Y231" s="79">
        <f t="shared" si="41"/>
        <v>0.32</v>
      </c>
      <c r="Z231" s="59">
        <f t="shared" si="42"/>
        <v>0</v>
      </c>
      <c r="AA231" s="58">
        <f>$Q$177</f>
        <v>0</v>
      </c>
      <c r="AB231" s="57">
        <f t="shared" si="37"/>
        <v>0</v>
      </c>
      <c r="AC231" s="53">
        <f t="shared" si="38"/>
        <v>0</v>
      </c>
    </row>
    <row r="232" spans="19:29" x14ac:dyDescent="0.25">
      <c r="S232" s="82"/>
      <c r="T232" s="68" t="s">
        <v>37</v>
      </c>
      <c r="U232" s="75" t="s">
        <v>79</v>
      </c>
      <c r="V232" s="65" t="s">
        <v>68</v>
      </c>
      <c r="W232" s="60">
        <f t="shared" si="40"/>
        <v>0.33333333333333331</v>
      </c>
      <c r="X232" s="54">
        <f t="shared" si="36"/>
        <v>0</v>
      </c>
      <c r="Y232" s="79">
        <f t="shared" si="41"/>
        <v>0.32</v>
      </c>
      <c r="Z232" s="59">
        <f t="shared" si="42"/>
        <v>0</v>
      </c>
      <c r="AA232" s="59">
        <f>$R$177</f>
        <v>0</v>
      </c>
      <c r="AB232" s="57">
        <f t="shared" si="37"/>
        <v>0</v>
      </c>
      <c r="AC232" s="53">
        <f t="shared" si="38"/>
        <v>0</v>
      </c>
    </row>
    <row r="233" spans="19:29" x14ac:dyDescent="0.25">
      <c r="T233" s="69" t="s">
        <v>37</v>
      </c>
      <c r="U233" s="76" t="s">
        <v>79</v>
      </c>
      <c r="V233" s="66" t="s">
        <v>69</v>
      </c>
      <c r="W233" s="60">
        <f t="shared" si="40"/>
        <v>0.33333333333333331</v>
      </c>
      <c r="X233" s="54">
        <f t="shared" si="36"/>
        <v>0</v>
      </c>
      <c r="Y233" s="80">
        <f>$R$165</f>
        <v>0.64</v>
      </c>
      <c r="Z233" s="55">
        <f>$P$171</f>
        <v>1</v>
      </c>
      <c r="AA233" s="56">
        <f>$P$177</f>
        <v>1</v>
      </c>
      <c r="AB233" s="57">
        <f t="shared" si="37"/>
        <v>0</v>
      </c>
      <c r="AC233" s="53">
        <f t="shared" si="38"/>
        <v>0</v>
      </c>
    </row>
    <row r="234" spans="19:29" x14ac:dyDescent="0.25">
      <c r="T234" s="69" t="s">
        <v>37</v>
      </c>
      <c r="U234" s="76" t="s">
        <v>79</v>
      </c>
      <c r="V234" s="66" t="s">
        <v>70</v>
      </c>
      <c r="W234" s="60">
        <f t="shared" si="40"/>
        <v>0.33333333333333331</v>
      </c>
      <c r="X234" s="54">
        <f t="shared" si="36"/>
        <v>0</v>
      </c>
      <c r="Y234" s="80">
        <f t="shared" ref="Y234:Y241" si="43">$R$165</f>
        <v>0.64</v>
      </c>
      <c r="Z234" s="55">
        <f>$P$171</f>
        <v>1</v>
      </c>
      <c r="AA234" s="58">
        <f>$Q$177</f>
        <v>0</v>
      </c>
      <c r="AB234" s="57">
        <f t="shared" si="37"/>
        <v>0</v>
      </c>
      <c r="AC234" s="53">
        <f t="shared" si="38"/>
        <v>0</v>
      </c>
    </row>
    <row r="235" spans="19:29" x14ac:dyDescent="0.25">
      <c r="T235" s="69" t="s">
        <v>37</v>
      </c>
      <c r="U235" s="76" t="s">
        <v>79</v>
      </c>
      <c r="V235" s="66" t="s">
        <v>71</v>
      </c>
      <c r="W235" s="60">
        <f t="shared" si="40"/>
        <v>0.33333333333333331</v>
      </c>
      <c r="X235" s="54">
        <f t="shared" si="36"/>
        <v>0</v>
      </c>
      <c r="Y235" s="80">
        <f t="shared" si="43"/>
        <v>0.64</v>
      </c>
      <c r="Z235" s="55">
        <f>$P$171</f>
        <v>1</v>
      </c>
      <c r="AA235" s="59">
        <f>$R$177</f>
        <v>0</v>
      </c>
      <c r="AB235" s="57">
        <f t="shared" si="37"/>
        <v>0</v>
      </c>
      <c r="AC235" s="53">
        <f t="shared" si="38"/>
        <v>0</v>
      </c>
    </row>
    <row r="236" spans="19:29" x14ac:dyDescent="0.25">
      <c r="T236" s="69" t="s">
        <v>37</v>
      </c>
      <c r="U236" s="76" t="s">
        <v>79</v>
      </c>
      <c r="V236" s="66" t="s">
        <v>72</v>
      </c>
      <c r="W236" s="60">
        <f t="shared" si="40"/>
        <v>0.33333333333333331</v>
      </c>
      <c r="X236" s="54">
        <f t="shared" si="36"/>
        <v>0</v>
      </c>
      <c r="Y236" s="80">
        <f t="shared" si="43"/>
        <v>0.64</v>
      </c>
      <c r="Z236" s="58">
        <f>$Q$171</f>
        <v>0</v>
      </c>
      <c r="AA236" s="56">
        <f>$P$177</f>
        <v>1</v>
      </c>
      <c r="AB236" s="57">
        <f t="shared" si="37"/>
        <v>0</v>
      </c>
      <c r="AC236" s="53">
        <f t="shared" si="38"/>
        <v>0</v>
      </c>
    </row>
    <row r="237" spans="19:29" x14ac:dyDescent="0.25">
      <c r="T237" s="69" t="s">
        <v>37</v>
      </c>
      <c r="U237" s="76" t="s">
        <v>79</v>
      </c>
      <c r="V237" s="66" t="s">
        <v>73</v>
      </c>
      <c r="W237" s="60">
        <f t="shared" si="40"/>
        <v>0.33333333333333331</v>
      </c>
      <c r="X237" s="54">
        <f t="shared" si="36"/>
        <v>0</v>
      </c>
      <c r="Y237" s="80">
        <f t="shared" si="43"/>
        <v>0.64</v>
      </c>
      <c r="Z237" s="58">
        <f t="shared" ref="Z237:Z241" si="44">$Q$171</f>
        <v>0</v>
      </c>
      <c r="AA237" s="58">
        <f>$Q$177</f>
        <v>0</v>
      </c>
      <c r="AB237" s="57">
        <f t="shared" si="37"/>
        <v>0</v>
      </c>
      <c r="AC237" s="53">
        <f t="shared" si="38"/>
        <v>0</v>
      </c>
    </row>
    <row r="238" spans="19:29" x14ac:dyDescent="0.25">
      <c r="T238" s="69" t="s">
        <v>37</v>
      </c>
      <c r="U238" s="76" t="s">
        <v>79</v>
      </c>
      <c r="V238" s="66" t="s">
        <v>74</v>
      </c>
      <c r="W238" s="60">
        <f t="shared" si="40"/>
        <v>0.33333333333333331</v>
      </c>
      <c r="X238" s="54">
        <f t="shared" si="36"/>
        <v>0</v>
      </c>
      <c r="Y238" s="80">
        <f t="shared" si="43"/>
        <v>0.64</v>
      </c>
      <c r="Z238" s="58">
        <f t="shared" si="44"/>
        <v>0</v>
      </c>
      <c r="AA238" s="59">
        <f>$R$177</f>
        <v>0</v>
      </c>
      <c r="AB238" s="57">
        <f t="shared" si="37"/>
        <v>0</v>
      </c>
      <c r="AC238" s="53">
        <f t="shared" si="38"/>
        <v>0</v>
      </c>
    </row>
    <row r="239" spans="19:29" x14ac:dyDescent="0.25">
      <c r="T239" s="69" t="s">
        <v>37</v>
      </c>
      <c r="U239" s="76" t="s">
        <v>79</v>
      </c>
      <c r="V239" s="66" t="s">
        <v>75</v>
      </c>
      <c r="W239" s="60">
        <f t="shared" si="40"/>
        <v>0.33333333333333331</v>
      </c>
      <c r="X239" s="54">
        <f t="shared" si="36"/>
        <v>0</v>
      </c>
      <c r="Y239" s="80">
        <f t="shared" si="43"/>
        <v>0.64</v>
      </c>
      <c r="Z239" s="59">
        <f t="shared" si="44"/>
        <v>0</v>
      </c>
      <c r="AA239" s="56">
        <f>$P$177</f>
        <v>1</v>
      </c>
      <c r="AB239" s="57">
        <f t="shared" si="37"/>
        <v>0</v>
      </c>
      <c r="AC239" s="53">
        <f t="shared" si="38"/>
        <v>0</v>
      </c>
    </row>
    <row r="240" spans="19:29" x14ac:dyDescent="0.25">
      <c r="T240" s="69" t="s">
        <v>37</v>
      </c>
      <c r="U240" s="76" t="s">
        <v>79</v>
      </c>
      <c r="V240" s="66" t="s">
        <v>76</v>
      </c>
      <c r="W240" s="60">
        <f t="shared" si="40"/>
        <v>0.33333333333333331</v>
      </c>
      <c r="X240" s="54">
        <f t="shared" si="36"/>
        <v>0</v>
      </c>
      <c r="Y240" s="80">
        <f t="shared" si="43"/>
        <v>0.64</v>
      </c>
      <c r="Z240" s="59">
        <f t="shared" si="44"/>
        <v>0</v>
      </c>
      <c r="AA240" s="58">
        <f>$Q$177</f>
        <v>0</v>
      </c>
      <c r="AB240" s="57">
        <f t="shared" si="37"/>
        <v>0</v>
      </c>
      <c r="AC240" s="53">
        <f t="shared" si="38"/>
        <v>0</v>
      </c>
    </row>
    <row r="241" spans="20:29" x14ac:dyDescent="0.25">
      <c r="T241" s="70" t="s">
        <v>37</v>
      </c>
      <c r="U241" s="78" t="s">
        <v>79</v>
      </c>
      <c r="V241" s="67" t="s">
        <v>77</v>
      </c>
      <c r="W241" s="60">
        <f t="shared" si="40"/>
        <v>0.33333333333333331</v>
      </c>
      <c r="X241" s="54">
        <f t="shared" si="36"/>
        <v>0</v>
      </c>
      <c r="Y241" s="80">
        <f t="shared" si="43"/>
        <v>0.64</v>
      </c>
      <c r="Z241" s="59">
        <f t="shared" si="44"/>
        <v>0</v>
      </c>
      <c r="AA241" s="59">
        <f>$R$177</f>
        <v>0</v>
      </c>
      <c r="AB241" s="57">
        <f t="shared" si="37"/>
        <v>0</v>
      </c>
      <c r="AC241" s="53">
        <f t="shared" si="38"/>
        <v>0</v>
      </c>
    </row>
    <row r="243" spans="20:29" x14ac:dyDescent="0.25">
      <c r="W243" s="5" t="s">
        <v>26</v>
      </c>
      <c r="X243" s="47"/>
      <c r="Y243" s="47"/>
      <c r="Z243" s="47"/>
      <c r="AA243" s="8"/>
      <c r="AB243" s="47"/>
      <c r="AC243" s="48"/>
    </row>
    <row r="244" spans="20:29" x14ac:dyDescent="0.25">
      <c r="T244" s="45" t="s">
        <v>30</v>
      </c>
      <c r="U244" s="45"/>
      <c r="V244" s="45"/>
      <c r="W244" s="6"/>
      <c r="AA244" s="10"/>
      <c r="AC244" s="49"/>
    </row>
    <row r="245" spans="20:29" x14ac:dyDescent="0.25">
      <c r="T245" s="73" t="s">
        <v>80</v>
      </c>
      <c r="W245" s="15" t="s">
        <v>12</v>
      </c>
      <c r="X245" s="12" t="s">
        <v>32</v>
      </c>
      <c r="Y245" s="12" t="s">
        <v>33</v>
      </c>
      <c r="Z245" s="12" t="s">
        <v>34</v>
      </c>
      <c r="AA245" s="12" t="s">
        <v>35</v>
      </c>
      <c r="AB245" s="50"/>
      <c r="AC245" s="51"/>
    </row>
    <row r="246" spans="20:29" x14ac:dyDescent="0.25">
      <c r="W246" s="46" t="s">
        <v>36</v>
      </c>
      <c r="X246" s="46" t="s">
        <v>0</v>
      </c>
      <c r="Y246" s="46" t="s">
        <v>1</v>
      </c>
      <c r="Z246" s="46" t="s">
        <v>2</v>
      </c>
      <c r="AA246" s="46" t="s">
        <v>3</v>
      </c>
      <c r="AB246" s="52"/>
      <c r="AC246" s="52"/>
    </row>
    <row r="247" spans="20:29" x14ac:dyDescent="0.25">
      <c r="T247" s="61" t="s">
        <v>81</v>
      </c>
      <c r="U247" s="77" t="s">
        <v>38</v>
      </c>
      <c r="V247" s="62" t="s">
        <v>39</v>
      </c>
      <c r="W247" s="60">
        <f>$M$153</f>
        <v>0.33333333333333331</v>
      </c>
      <c r="X247" s="54">
        <f>$P$160</f>
        <v>0.12</v>
      </c>
      <c r="Y247" s="55">
        <f>$P$166</f>
        <v>0.68</v>
      </c>
      <c r="Z247" s="55">
        <f>$P$172</f>
        <v>0.02</v>
      </c>
      <c r="AA247" s="56">
        <f>P178</f>
        <v>0</v>
      </c>
      <c r="AB247" s="57">
        <f>PRODUCT(W247:AA247)</f>
        <v>0</v>
      </c>
      <c r="AC247" s="53">
        <f>AB247</f>
        <v>0</v>
      </c>
    </row>
    <row r="248" spans="20:29" x14ac:dyDescent="0.25">
      <c r="T248" s="61" t="s">
        <v>81</v>
      </c>
      <c r="U248" s="74" t="s">
        <v>38</v>
      </c>
      <c r="V248" s="64" t="s">
        <v>40</v>
      </c>
      <c r="W248" s="60">
        <f t="shared" ref="W248:W273" si="45">$M$153</f>
        <v>0.33333333333333331</v>
      </c>
      <c r="X248" s="54">
        <f t="shared" ref="X248:X273" si="46">$P$160</f>
        <v>0.12</v>
      </c>
      <c r="Y248" s="55">
        <f t="shared" ref="Y248:Y255" si="47">$P$166</f>
        <v>0.68</v>
      </c>
      <c r="Z248" s="55">
        <f t="shared" ref="Z248:Z249" si="48">$P$172</f>
        <v>0.02</v>
      </c>
      <c r="AA248" s="58">
        <f>Q178</f>
        <v>0.9</v>
      </c>
      <c r="AB248" s="57">
        <f t="shared" ref="AB248:AB273" si="49">PRODUCT(W248:AA248)</f>
        <v>4.8959999999999997E-4</v>
      </c>
      <c r="AC248" s="53">
        <f t="shared" ref="AC248:AC273" si="50">AB248</f>
        <v>4.8959999999999997E-4</v>
      </c>
    </row>
    <row r="249" spans="20:29" x14ac:dyDescent="0.25">
      <c r="T249" s="61" t="s">
        <v>81</v>
      </c>
      <c r="U249" s="74" t="s">
        <v>38</v>
      </c>
      <c r="V249" s="64" t="s">
        <v>45</v>
      </c>
      <c r="W249" s="60">
        <f t="shared" si="45"/>
        <v>0.33333333333333331</v>
      </c>
      <c r="X249" s="54">
        <f t="shared" si="46"/>
        <v>0.12</v>
      </c>
      <c r="Y249" s="55">
        <f t="shared" si="47"/>
        <v>0.68</v>
      </c>
      <c r="Z249" s="55">
        <f t="shared" si="48"/>
        <v>0.02</v>
      </c>
      <c r="AA249" s="59">
        <f>R178</f>
        <v>0.1</v>
      </c>
      <c r="AB249" s="57">
        <f t="shared" si="49"/>
        <v>5.4400000000000001E-5</v>
      </c>
      <c r="AC249" s="53">
        <f t="shared" si="50"/>
        <v>5.4400000000000001E-5</v>
      </c>
    </row>
    <row r="250" spans="20:29" x14ac:dyDescent="0.25">
      <c r="T250" s="61" t="s">
        <v>81</v>
      </c>
      <c r="U250" s="74" t="s">
        <v>38</v>
      </c>
      <c r="V250" s="64" t="s">
        <v>46</v>
      </c>
      <c r="W250" s="60">
        <f t="shared" si="45"/>
        <v>0.33333333333333331</v>
      </c>
      <c r="X250" s="54">
        <f t="shared" si="46"/>
        <v>0.12</v>
      </c>
      <c r="Y250" s="55">
        <f t="shared" si="47"/>
        <v>0.68</v>
      </c>
      <c r="Z250" s="58">
        <f>$Q$172</f>
        <v>0.9</v>
      </c>
      <c r="AA250" s="56">
        <f t="shared" ref="AA250:AA252" si="51">AA247</f>
        <v>0</v>
      </c>
      <c r="AB250" s="57">
        <f t="shared" si="49"/>
        <v>0</v>
      </c>
      <c r="AC250" s="53">
        <f t="shared" si="50"/>
        <v>0</v>
      </c>
    </row>
    <row r="251" spans="20:29" x14ac:dyDescent="0.25">
      <c r="T251" s="61" t="s">
        <v>81</v>
      </c>
      <c r="U251" s="74" t="s">
        <v>38</v>
      </c>
      <c r="V251" s="64" t="s">
        <v>47</v>
      </c>
      <c r="W251" s="60">
        <f t="shared" si="45"/>
        <v>0.33333333333333331</v>
      </c>
      <c r="X251" s="54">
        <f t="shared" si="46"/>
        <v>0.12</v>
      </c>
      <c r="Y251" s="55">
        <f t="shared" si="47"/>
        <v>0.68</v>
      </c>
      <c r="Z251" s="58">
        <f t="shared" ref="Z251:Z252" si="52">$Q$172</f>
        <v>0.9</v>
      </c>
      <c r="AA251" s="58">
        <f t="shared" si="51"/>
        <v>0.9</v>
      </c>
      <c r="AB251" s="57">
        <f t="shared" si="49"/>
        <v>2.2032E-2</v>
      </c>
      <c r="AC251" s="53">
        <f t="shared" si="50"/>
        <v>2.2032E-2</v>
      </c>
    </row>
    <row r="252" spans="20:29" x14ac:dyDescent="0.25">
      <c r="T252" s="61" t="s">
        <v>81</v>
      </c>
      <c r="U252" s="74" t="s">
        <v>38</v>
      </c>
      <c r="V252" s="64" t="s">
        <v>48</v>
      </c>
      <c r="W252" s="60">
        <f t="shared" si="45"/>
        <v>0.33333333333333331</v>
      </c>
      <c r="X252" s="54">
        <f t="shared" si="46"/>
        <v>0.12</v>
      </c>
      <c r="Y252" s="55">
        <f t="shared" si="47"/>
        <v>0.68</v>
      </c>
      <c r="Z252" s="58">
        <f t="shared" si="52"/>
        <v>0.9</v>
      </c>
      <c r="AA252" s="59">
        <f t="shared" si="51"/>
        <v>0.1</v>
      </c>
      <c r="AB252" s="57">
        <f t="shared" si="49"/>
        <v>2.4480000000000001E-3</v>
      </c>
      <c r="AC252" s="53">
        <f t="shared" si="50"/>
        <v>2.4480000000000001E-3</v>
      </c>
    </row>
    <row r="253" spans="20:29" x14ac:dyDescent="0.25">
      <c r="T253" s="61" t="s">
        <v>81</v>
      </c>
      <c r="U253" s="74" t="s">
        <v>38</v>
      </c>
      <c r="V253" s="64" t="s">
        <v>49</v>
      </c>
      <c r="W253" s="60">
        <f t="shared" si="45"/>
        <v>0.33333333333333331</v>
      </c>
      <c r="X253" s="54">
        <f t="shared" si="46"/>
        <v>0.12</v>
      </c>
      <c r="Y253" s="55">
        <f t="shared" si="47"/>
        <v>0.68</v>
      </c>
      <c r="Z253" s="59">
        <f>$R$172</f>
        <v>0.08</v>
      </c>
      <c r="AA253" s="56">
        <f t="shared" ref="AA253:AA255" si="53">AA247</f>
        <v>0</v>
      </c>
      <c r="AB253" s="57">
        <f t="shared" si="49"/>
        <v>0</v>
      </c>
      <c r="AC253" s="53">
        <f t="shared" si="50"/>
        <v>0</v>
      </c>
    </row>
    <row r="254" spans="20:29" x14ac:dyDescent="0.25">
      <c r="T254" s="61" t="s">
        <v>81</v>
      </c>
      <c r="U254" s="74" t="s">
        <v>38</v>
      </c>
      <c r="V254" s="64" t="s">
        <v>50</v>
      </c>
      <c r="W254" s="60">
        <f t="shared" si="45"/>
        <v>0.33333333333333331</v>
      </c>
      <c r="X254" s="54">
        <f t="shared" si="46"/>
        <v>0.12</v>
      </c>
      <c r="Y254" s="55">
        <f t="shared" si="47"/>
        <v>0.68</v>
      </c>
      <c r="Z254" s="59">
        <f t="shared" ref="Z254:Z255" si="54">$R$172</f>
        <v>0.08</v>
      </c>
      <c r="AA254" s="58">
        <f t="shared" si="53"/>
        <v>0.9</v>
      </c>
      <c r="AB254" s="57">
        <f t="shared" si="49"/>
        <v>1.9583999999999999E-3</v>
      </c>
      <c r="AC254" s="53">
        <f t="shared" si="50"/>
        <v>1.9583999999999999E-3</v>
      </c>
    </row>
    <row r="255" spans="20:29" x14ac:dyDescent="0.25">
      <c r="T255" s="61" t="s">
        <v>81</v>
      </c>
      <c r="U255" s="74" t="s">
        <v>38</v>
      </c>
      <c r="V255" s="64" t="s">
        <v>55</v>
      </c>
      <c r="W255" s="60">
        <f t="shared" si="45"/>
        <v>0.33333333333333331</v>
      </c>
      <c r="X255" s="54">
        <f t="shared" si="46"/>
        <v>0.12</v>
      </c>
      <c r="Y255" s="55">
        <f t="shared" si="47"/>
        <v>0.68</v>
      </c>
      <c r="Z255" s="59">
        <f t="shared" si="54"/>
        <v>0.08</v>
      </c>
      <c r="AA255" s="59">
        <f t="shared" si="53"/>
        <v>0.1</v>
      </c>
      <c r="AB255" s="57">
        <f t="shared" si="49"/>
        <v>2.176E-4</v>
      </c>
      <c r="AC255" s="53">
        <f t="shared" si="50"/>
        <v>2.176E-4</v>
      </c>
    </row>
    <row r="256" spans="20:29" x14ac:dyDescent="0.25">
      <c r="T256" s="68" t="s">
        <v>82</v>
      </c>
      <c r="U256" s="75" t="s">
        <v>38</v>
      </c>
      <c r="V256" s="65" t="s">
        <v>56</v>
      </c>
      <c r="W256" s="60">
        <f t="shared" si="45"/>
        <v>0.33333333333333331</v>
      </c>
      <c r="X256" s="54">
        <f t="shared" si="46"/>
        <v>0.12</v>
      </c>
      <c r="Y256" s="79">
        <f>$Q$166</f>
        <v>0.28000000000000003</v>
      </c>
      <c r="Z256" s="55">
        <f>$P$172</f>
        <v>0.02</v>
      </c>
      <c r="AA256" s="56">
        <f t="shared" ref="AA256:AA258" si="55">AA247</f>
        <v>0</v>
      </c>
      <c r="AB256" s="57">
        <f t="shared" si="49"/>
        <v>0</v>
      </c>
      <c r="AC256" s="53">
        <f t="shared" si="50"/>
        <v>0</v>
      </c>
    </row>
    <row r="257" spans="19:29" x14ac:dyDescent="0.25">
      <c r="T257" s="68" t="s">
        <v>82</v>
      </c>
      <c r="U257" s="75" t="s">
        <v>38</v>
      </c>
      <c r="V257" s="65" t="s">
        <v>57</v>
      </c>
      <c r="W257" s="60">
        <f t="shared" si="45"/>
        <v>0.33333333333333331</v>
      </c>
      <c r="X257" s="54">
        <f t="shared" si="46"/>
        <v>0.12</v>
      </c>
      <c r="Y257" s="79">
        <f t="shared" ref="Y257:Y264" si="56">$Q$166</f>
        <v>0.28000000000000003</v>
      </c>
      <c r="Z257" s="55">
        <f t="shared" ref="Z257:Z258" si="57">$P$172</f>
        <v>0.02</v>
      </c>
      <c r="AA257" s="58">
        <f t="shared" si="55"/>
        <v>0.9</v>
      </c>
      <c r="AB257" s="57">
        <f t="shared" si="49"/>
        <v>2.0159999999999999E-4</v>
      </c>
      <c r="AC257" s="53">
        <f t="shared" si="50"/>
        <v>2.0159999999999999E-4</v>
      </c>
    </row>
    <row r="258" spans="19:29" x14ac:dyDescent="0.25">
      <c r="T258" s="68" t="s">
        <v>82</v>
      </c>
      <c r="U258" s="75" t="s">
        <v>38</v>
      </c>
      <c r="V258" s="65" t="s">
        <v>58</v>
      </c>
      <c r="W258" s="60">
        <f t="shared" si="45"/>
        <v>0.33333333333333331</v>
      </c>
      <c r="X258" s="54">
        <f t="shared" si="46"/>
        <v>0.12</v>
      </c>
      <c r="Y258" s="79">
        <f t="shared" si="56"/>
        <v>0.28000000000000003</v>
      </c>
      <c r="Z258" s="55">
        <f t="shared" si="57"/>
        <v>0.02</v>
      </c>
      <c r="AA258" s="59">
        <f t="shared" si="55"/>
        <v>0.1</v>
      </c>
      <c r="AB258" s="57">
        <f t="shared" si="49"/>
        <v>2.2400000000000002E-5</v>
      </c>
      <c r="AC258" s="53">
        <f t="shared" si="50"/>
        <v>2.2400000000000002E-5</v>
      </c>
    </row>
    <row r="259" spans="19:29" x14ac:dyDescent="0.25">
      <c r="T259" s="68" t="s">
        <v>82</v>
      </c>
      <c r="U259" s="75" t="s">
        <v>38</v>
      </c>
      <c r="V259" s="65" t="s">
        <v>59</v>
      </c>
      <c r="W259" s="60">
        <f t="shared" si="45"/>
        <v>0.33333333333333331</v>
      </c>
      <c r="X259" s="54">
        <f t="shared" si="46"/>
        <v>0.12</v>
      </c>
      <c r="Y259" s="79">
        <f t="shared" si="56"/>
        <v>0.28000000000000003</v>
      </c>
      <c r="Z259" s="58">
        <f>$Q$172</f>
        <v>0.9</v>
      </c>
      <c r="AA259" s="56">
        <f t="shared" ref="AA259:AA261" si="58">AA247</f>
        <v>0</v>
      </c>
      <c r="AB259" s="57">
        <f t="shared" si="49"/>
        <v>0</v>
      </c>
      <c r="AC259" s="53">
        <f t="shared" si="50"/>
        <v>0</v>
      </c>
    </row>
    <row r="260" spans="19:29" x14ac:dyDescent="0.25">
      <c r="T260" s="68" t="s">
        <v>82</v>
      </c>
      <c r="U260" s="75" t="s">
        <v>38</v>
      </c>
      <c r="V260" s="65" t="s">
        <v>60</v>
      </c>
      <c r="W260" s="60">
        <f t="shared" si="45"/>
        <v>0.33333333333333331</v>
      </c>
      <c r="X260" s="54">
        <f t="shared" si="46"/>
        <v>0.12</v>
      </c>
      <c r="Y260" s="79">
        <f t="shared" si="56"/>
        <v>0.28000000000000003</v>
      </c>
      <c r="Z260" s="58">
        <f t="shared" ref="Z260:Z261" si="59">$Q$172</f>
        <v>0.9</v>
      </c>
      <c r="AA260" s="58">
        <f t="shared" si="58"/>
        <v>0.9</v>
      </c>
      <c r="AB260" s="57">
        <f t="shared" si="49"/>
        <v>9.0720000000000002E-3</v>
      </c>
      <c r="AC260" s="53">
        <f t="shared" si="50"/>
        <v>9.0720000000000002E-3</v>
      </c>
    </row>
    <row r="261" spans="19:29" x14ac:dyDescent="0.25">
      <c r="T261" s="68" t="s">
        <v>82</v>
      </c>
      <c r="U261" s="75" t="s">
        <v>38</v>
      </c>
      <c r="V261" s="65" t="s">
        <v>65</v>
      </c>
      <c r="W261" s="60">
        <f t="shared" si="45"/>
        <v>0.33333333333333331</v>
      </c>
      <c r="X261" s="54">
        <f t="shared" si="46"/>
        <v>0.12</v>
      </c>
      <c r="Y261" s="79">
        <f t="shared" si="56"/>
        <v>0.28000000000000003</v>
      </c>
      <c r="Z261" s="58">
        <f t="shared" si="59"/>
        <v>0.9</v>
      </c>
      <c r="AA261" s="59">
        <f t="shared" si="58"/>
        <v>0.1</v>
      </c>
      <c r="AB261" s="57">
        <f t="shared" si="49"/>
        <v>1.008E-3</v>
      </c>
      <c r="AC261" s="53">
        <f t="shared" si="50"/>
        <v>1.008E-3</v>
      </c>
    </row>
    <row r="262" spans="19:29" x14ac:dyDescent="0.25">
      <c r="T262" s="68" t="s">
        <v>82</v>
      </c>
      <c r="U262" s="75" t="s">
        <v>38</v>
      </c>
      <c r="V262" s="65" t="s">
        <v>66</v>
      </c>
      <c r="W262" s="60">
        <f t="shared" si="45"/>
        <v>0.33333333333333331</v>
      </c>
      <c r="X262" s="54">
        <f t="shared" si="46"/>
        <v>0.12</v>
      </c>
      <c r="Y262" s="79">
        <f t="shared" si="56"/>
        <v>0.28000000000000003</v>
      </c>
      <c r="Z262" s="59">
        <f>$R$172</f>
        <v>0.08</v>
      </c>
      <c r="AA262" s="56">
        <f t="shared" ref="AA262:AA264" si="60">AA259</f>
        <v>0</v>
      </c>
      <c r="AB262" s="57">
        <f t="shared" si="49"/>
        <v>0</v>
      </c>
      <c r="AC262" s="53">
        <f t="shared" si="50"/>
        <v>0</v>
      </c>
    </row>
    <row r="263" spans="19:29" x14ac:dyDescent="0.25">
      <c r="T263" s="68" t="s">
        <v>82</v>
      </c>
      <c r="U263" s="75" t="s">
        <v>38</v>
      </c>
      <c r="V263" s="65" t="s">
        <v>67</v>
      </c>
      <c r="W263" s="60">
        <f t="shared" si="45"/>
        <v>0.33333333333333331</v>
      </c>
      <c r="X263" s="54">
        <f t="shared" si="46"/>
        <v>0.12</v>
      </c>
      <c r="Y263" s="79">
        <f t="shared" si="56"/>
        <v>0.28000000000000003</v>
      </c>
      <c r="Z263" s="59">
        <f t="shared" ref="Z263:Z264" si="61">$R$172</f>
        <v>0.08</v>
      </c>
      <c r="AA263" s="58">
        <f t="shared" si="60"/>
        <v>0.9</v>
      </c>
      <c r="AB263" s="57">
        <f t="shared" si="49"/>
        <v>8.0639999999999998E-4</v>
      </c>
      <c r="AC263" s="53">
        <f t="shared" si="50"/>
        <v>8.0639999999999998E-4</v>
      </c>
    </row>
    <row r="264" spans="19:29" x14ac:dyDescent="0.25">
      <c r="T264" s="68" t="s">
        <v>82</v>
      </c>
      <c r="U264" s="75" t="s">
        <v>38</v>
      </c>
      <c r="V264" s="65" t="s">
        <v>68</v>
      </c>
      <c r="W264" s="60">
        <f t="shared" si="45"/>
        <v>0.33333333333333331</v>
      </c>
      <c r="X264" s="54">
        <f t="shared" si="46"/>
        <v>0.12</v>
      </c>
      <c r="Y264" s="79">
        <f t="shared" si="56"/>
        <v>0.28000000000000003</v>
      </c>
      <c r="Z264" s="59">
        <f t="shared" si="61"/>
        <v>0.08</v>
      </c>
      <c r="AA264" s="59">
        <f t="shared" si="60"/>
        <v>0.1</v>
      </c>
      <c r="AB264" s="57">
        <f t="shared" si="49"/>
        <v>8.9600000000000009E-5</v>
      </c>
      <c r="AC264" s="53">
        <f t="shared" si="50"/>
        <v>8.9600000000000009E-5</v>
      </c>
    </row>
    <row r="265" spans="19:29" x14ac:dyDescent="0.25">
      <c r="S265" s="83"/>
      <c r="T265" s="69" t="s">
        <v>82</v>
      </c>
      <c r="U265" s="76" t="s">
        <v>38</v>
      </c>
      <c r="V265" s="66" t="s">
        <v>69</v>
      </c>
      <c r="W265" s="60">
        <f t="shared" si="45"/>
        <v>0.33333333333333331</v>
      </c>
      <c r="X265" s="54">
        <f t="shared" si="46"/>
        <v>0.12</v>
      </c>
      <c r="Y265" s="80">
        <f>$R$166</f>
        <v>0.04</v>
      </c>
      <c r="Z265" s="55">
        <f>$P$172</f>
        <v>0.02</v>
      </c>
      <c r="AA265" s="56">
        <f t="shared" ref="AA265:AA267" si="62">AA259</f>
        <v>0</v>
      </c>
      <c r="AB265" s="57">
        <f t="shared" si="49"/>
        <v>0</v>
      </c>
      <c r="AC265" s="53">
        <f t="shared" si="50"/>
        <v>0</v>
      </c>
    </row>
    <row r="266" spans="19:29" x14ac:dyDescent="0.25">
      <c r="T266" s="69" t="s">
        <v>82</v>
      </c>
      <c r="U266" s="76" t="s">
        <v>38</v>
      </c>
      <c r="V266" s="66" t="s">
        <v>70</v>
      </c>
      <c r="W266" s="60">
        <f t="shared" si="45"/>
        <v>0.33333333333333331</v>
      </c>
      <c r="X266" s="54">
        <f t="shared" si="46"/>
        <v>0.12</v>
      </c>
      <c r="Y266" s="80">
        <f t="shared" ref="Y266:Y272" si="63">$R$166</f>
        <v>0.04</v>
      </c>
      <c r="Z266" s="55">
        <f t="shared" ref="Z266:Z267" si="64">$P$172</f>
        <v>0.02</v>
      </c>
      <c r="AA266" s="58">
        <f t="shared" si="62"/>
        <v>0.9</v>
      </c>
      <c r="AB266" s="57">
        <f t="shared" si="49"/>
        <v>2.8799999999999999E-5</v>
      </c>
      <c r="AC266" s="53">
        <f t="shared" si="50"/>
        <v>2.8799999999999999E-5</v>
      </c>
    </row>
    <row r="267" spans="19:29" x14ac:dyDescent="0.25">
      <c r="T267" s="69" t="s">
        <v>82</v>
      </c>
      <c r="U267" s="76" t="s">
        <v>38</v>
      </c>
      <c r="V267" s="66" t="s">
        <v>71</v>
      </c>
      <c r="W267" s="60">
        <f t="shared" si="45"/>
        <v>0.33333333333333331</v>
      </c>
      <c r="X267" s="54">
        <f t="shared" si="46"/>
        <v>0.12</v>
      </c>
      <c r="Y267" s="80">
        <f t="shared" si="63"/>
        <v>0.04</v>
      </c>
      <c r="Z267" s="55">
        <f t="shared" si="64"/>
        <v>0.02</v>
      </c>
      <c r="AA267" s="59">
        <f t="shared" si="62"/>
        <v>0.1</v>
      </c>
      <c r="AB267" s="57">
        <f t="shared" si="49"/>
        <v>3.1999999999999999E-6</v>
      </c>
      <c r="AC267" s="53">
        <f t="shared" si="50"/>
        <v>3.1999999999999999E-6</v>
      </c>
    </row>
    <row r="268" spans="19:29" x14ac:dyDescent="0.25">
      <c r="T268" s="69" t="s">
        <v>82</v>
      </c>
      <c r="U268" s="76" t="s">
        <v>38</v>
      </c>
      <c r="V268" s="66" t="s">
        <v>72</v>
      </c>
      <c r="W268" s="60">
        <f t="shared" si="45"/>
        <v>0.33333333333333331</v>
      </c>
      <c r="X268" s="54">
        <f t="shared" si="46"/>
        <v>0.12</v>
      </c>
      <c r="Y268" s="80">
        <f t="shared" si="63"/>
        <v>0.04</v>
      </c>
      <c r="Z268" s="58">
        <f>$Q$172</f>
        <v>0.9</v>
      </c>
      <c r="AA268" s="56">
        <f t="shared" ref="AA268:AA270" si="65">AA259</f>
        <v>0</v>
      </c>
      <c r="AB268" s="57">
        <f t="shared" si="49"/>
        <v>0</v>
      </c>
      <c r="AC268" s="53">
        <f t="shared" si="50"/>
        <v>0</v>
      </c>
    </row>
    <row r="269" spans="19:29" x14ac:dyDescent="0.25">
      <c r="T269" s="69" t="s">
        <v>82</v>
      </c>
      <c r="U269" s="76" t="s">
        <v>38</v>
      </c>
      <c r="V269" s="66" t="s">
        <v>73</v>
      </c>
      <c r="W269" s="60">
        <f t="shared" si="45"/>
        <v>0.33333333333333331</v>
      </c>
      <c r="X269" s="54">
        <f t="shared" si="46"/>
        <v>0.12</v>
      </c>
      <c r="Y269" s="80">
        <f t="shared" si="63"/>
        <v>0.04</v>
      </c>
      <c r="Z269" s="58">
        <f t="shared" ref="Z269:Z270" si="66">$Q$172</f>
        <v>0.9</v>
      </c>
      <c r="AA269" s="58">
        <f t="shared" si="65"/>
        <v>0.9</v>
      </c>
      <c r="AB269" s="57">
        <f t="shared" si="49"/>
        <v>1.2959999999999998E-3</v>
      </c>
      <c r="AC269" s="53">
        <f t="shared" si="50"/>
        <v>1.2959999999999998E-3</v>
      </c>
    </row>
    <row r="270" spans="19:29" x14ac:dyDescent="0.25">
      <c r="T270" s="69" t="s">
        <v>82</v>
      </c>
      <c r="U270" s="76" t="s">
        <v>38</v>
      </c>
      <c r="V270" s="66" t="s">
        <v>74</v>
      </c>
      <c r="W270" s="60">
        <f t="shared" si="45"/>
        <v>0.33333333333333331</v>
      </c>
      <c r="X270" s="54">
        <f t="shared" si="46"/>
        <v>0.12</v>
      </c>
      <c r="Y270" s="80">
        <f t="shared" si="63"/>
        <v>0.04</v>
      </c>
      <c r="Z270" s="58">
        <f t="shared" si="66"/>
        <v>0.9</v>
      </c>
      <c r="AA270" s="59">
        <f t="shared" si="65"/>
        <v>0.1</v>
      </c>
      <c r="AB270" s="57">
        <f t="shared" si="49"/>
        <v>1.44E-4</v>
      </c>
      <c r="AC270" s="53">
        <f t="shared" si="50"/>
        <v>1.44E-4</v>
      </c>
    </row>
    <row r="271" spans="19:29" x14ac:dyDescent="0.25">
      <c r="T271" s="69" t="s">
        <v>82</v>
      </c>
      <c r="U271" s="76" t="s">
        <v>38</v>
      </c>
      <c r="V271" s="66" t="s">
        <v>75</v>
      </c>
      <c r="W271" s="60">
        <f t="shared" si="45"/>
        <v>0.33333333333333331</v>
      </c>
      <c r="X271" s="54">
        <f t="shared" si="46"/>
        <v>0.12</v>
      </c>
      <c r="Y271" s="80">
        <f t="shared" si="63"/>
        <v>0.04</v>
      </c>
      <c r="Z271" s="59">
        <f>$R$172</f>
        <v>0.08</v>
      </c>
      <c r="AA271" s="56">
        <f t="shared" ref="AA271:AA273" si="67">AA259</f>
        <v>0</v>
      </c>
      <c r="AB271" s="57">
        <f t="shared" si="49"/>
        <v>0</v>
      </c>
      <c r="AC271" s="53">
        <f t="shared" si="50"/>
        <v>0</v>
      </c>
    </row>
    <row r="272" spans="19:29" x14ac:dyDescent="0.25">
      <c r="T272" s="69" t="s">
        <v>82</v>
      </c>
      <c r="U272" s="76" t="s">
        <v>38</v>
      </c>
      <c r="V272" s="66" t="s">
        <v>76</v>
      </c>
      <c r="W272" s="60">
        <f t="shared" si="45"/>
        <v>0.33333333333333331</v>
      </c>
      <c r="X272" s="54">
        <f t="shared" si="46"/>
        <v>0.12</v>
      </c>
      <c r="Y272" s="80">
        <f t="shared" si="63"/>
        <v>0.04</v>
      </c>
      <c r="Z272" s="59">
        <f t="shared" ref="Z272:Z273" si="68">$R$172</f>
        <v>0.08</v>
      </c>
      <c r="AA272" s="58">
        <f t="shared" si="67"/>
        <v>0.9</v>
      </c>
      <c r="AB272" s="57">
        <f t="shared" si="49"/>
        <v>1.1519999999999999E-4</v>
      </c>
      <c r="AC272" s="53">
        <f t="shared" si="50"/>
        <v>1.1519999999999999E-4</v>
      </c>
    </row>
    <row r="273" spans="20:29" x14ac:dyDescent="0.25">
      <c r="T273" s="69" t="s">
        <v>82</v>
      </c>
      <c r="U273" s="78" t="s">
        <v>38</v>
      </c>
      <c r="V273" s="67" t="s">
        <v>77</v>
      </c>
      <c r="W273" s="60">
        <f t="shared" si="45"/>
        <v>0.33333333333333331</v>
      </c>
      <c r="X273" s="54">
        <f t="shared" si="46"/>
        <v>0.12</v>
      </c>
      <c r="Y273" s="80">
        <f>$R$166</f>
        <v>0.04</v>
      </c>
      <c r="Z273" s="59">
        <f t="shared" si="68"/>
        <v>0.08</v>
      </c>
      <c r="AA273" s="59">
        <f t="shared" si="67"/>
        <v>0.1</v>
      </c>
      <c r="AB273" s="57">
        <f t="shared" si="49"/>
        <v>1.2799999999999999E-5</v>
      </c>
      <c r="AC273" s="53">
        <f t="shared" si="50"/>
        <v>1.2799999999999999E-5</v>
      </c>
    </row>
    <row r="274" spans="20:29" x14ac:dyDescent="0.25">
      <c r="T274" s="61" t="s">
        <v>82</v>
      </c>
      <c r="U274" s="77" t="s">
        <v>78</v>
      </c>
      <c r="V274" s="62" t="s">
        <v>39</v>
      </c>
      <c r="W274" s="60">
        <f t="shared" ref="W274:AA283" si="69">W247</f>
        <v>0.33333333333333331</v>
      </c>
      <c r="X274" s="54">
        <v>0.6</v>
      </c>
      <c r="Y274" s="55">
        <f t="shared" si="69"/>
        <v>0.68</v>
      </c>
      <c r="Z274" s="55">
        <f t="shared" si="69"/>
        <v>0.02</v>
      </c>
      <c r="AA274" s="55">
        <f t="shared" si="69"/>
        <v>0</v>
      </c>
      <c r="AB274" s="57">
        <f>PRODUCT(W274:AA274)</f>
        <v>0</v>
      </c>
      <c r="AC274" s="53">
        <f>AB274</f>
        <v>0</v>
      </c>
    </row>
    <row r="275" spans="20:29" x14ac:dyDescent="0.25">
      <c r="T275" s="61" t="s">
        <v>82</v>
      </c>
      <c r="U275" s="77" t="s">
        <v>78</v>
      </c>
      <c r="V275" s="64" t="s">
        <v>40</v>
      </c>
      <c r="W275" s="60">
        <f t="shared" si="69"/>
        <v>0.33333333333333331</v>
      </c>
      <c r="X275" s="54">
        <v>0.6</v>
      </c>
      <c r="Y275" s="55">
        <f t="shared" si="69"/>
        <v>0.68</v>
      </c>
      <c r="Z275" s="55">
        <f t="shared" si="69"/>
        <v>0.02</v>
      </c>
      <c r="AA275" s="79">
        <f t="shared" si="69"/>
        <v>0.9</v>
      </c>
      <c r="AB275" s="57">
        <f t="shared" ref="AB275:AB300" si="70">PRODUCT(W275:AA275)</f>
        <v>2.4480000000000001E-3</v>
      </c>
      <c r="AC275" s="53">
        <f t="shared" ref="AC275:AC300" si="71">AB275</f>
        <v>2.4480000000000001E-3</v>
      </c>
    </row>
    <row r="276" spans="20:29" x14ac:dyDescent="0.25">
      <c r="T276" s="61" t="s">
        <v>82</v>
      </c>
      <c r="U276" s="77" t="s">
        <v>78</v>
      </c>
      <c r="V276" s="64" t="s">
        <v>45</v>
      </c>
      <c r="W276" s="60">
        <f t="shared" si="69"/>
        <v>0.33333333333333331</v>
      </c>
      <c r="X276" s="54">
        <v>0.6</v>
      </c>
      <c r="Y276" s="55">
        <f t="shared" si="69"/>
        <v>0.68</v>
      </c>
      <c r="Z276" s="55">
        <f t="shared" si="69"/>
        <v>0.02</v>
      </c>
      <c r="AA276" s="80">
        <f t="shared" si="69"/>
        <v>0.1</v>
      </c>
      <c r="AB276" s="57">
        <f t="shared" si="70"/>
        <v>2.7200000000000005E-4</v>
      </c>
      <c r="AC276" s="53">
        <f t="shared" si="71"/>
        <v>2.7200000000000005E-4</v>
      </c>
    </row>
    <row r="277" spans="20:29" x14ac:dyDescent="0.25">
      <c r="T277" s="61" t="s">
        <v>82</v>
      </c>
      <c r="U277" s="77" t="s">
        <v>78</v>
      </c>
      <c r="V277" s="64" t="s">
        <v>46</v>
      </c>
      <c r="W277" s="60">
        <f t="shared" si="69"/>
        <v>0.33333333333333331</v>
      </c>
      <c r="X277" s="54">
        <v>0.6</v>
      </c>
      <c r="Y277" s="55">
        <f t="shared" si="69"/>
        <v>0.68</v>
      </c>
      <c r="Z277" s="79">
        <f t="shared" si="69"/>
        <v>0.9</v>
      </c>
      <c r="AA277" s="55">
        <f t="shared" si="69"/>
        <v>0</v>
      </c>
      <c r="AB277" s="57">
        <f t="shared" si="70"/>
        <v>0</v>
      </c>
      <c r="AC277" s="53">
        <f t="shared" si="71"/>
        <v>0</v>
      </c>
    </row>
    <row r="278" spans="20:29" x14ac:dyDescent="0.25">
      <c r="T278" s="61" t="s">
        <v>82</v>
      </c>
      <c r="U278" s="77" t="s">
        <v>78</v>
      </c>
      <c r="V278" s="64" t="s">
        <v>47</v>
      </c>
      <c r="W278" s="60">
        <f t="shared" si="69"/>
        <v>0.33333333333333331</v>
      </c>
      <c r="X278" s="54">
        <v>0.6</v>
      </c>
      <c r="Y278" s="55">
        <f t="shared" si="69"/>
        <v>0.68</v>
      </c>
      <c r="Z278" s="79">
        <f t="shared" si="69"/>
        <v>0.9</v>
      </c>
      <c r="AA278" s="79">
        <f t="shared" si="69"/>
        <v>0.9</v>
      </c>
      <c r="AB278" s="57">
        <f t="shared" si="70"/>
        <v>0.11016000000000001</v>
      </c>
      <c r="AC278" s="53">
        <f t="shared" si="71"/>
        <v>0.11016000000000001</v>
      </c>
    </row>
    <row r="279" spans="20:29" x14ac:dyDescent="0.25">
      <c r="T279" s="61" t="s">
        <v>82</v>
      </c>
      <c r="U279" s="77" t="s">
        <v>78</v>
      </c>
      <c r="V279" s="64" t="s">
        <v>48</v>
      </c>
      <c r="W279" s="60">
        <f t="shared" si="69"/>
        <v>0.33333333333333331</v>
      </c>
      <c r="X279" s="54">
        <v>0.6</v>
      </c>
      <c r="Y279" s="55">
        <f t="shared" si="69"/>
        <v>0.68</v>
      </c>
      <c r="Z279" s="79">
        <f t="shared" si="69"/>
        <v>0.9</v>
      </c>
      <c r="AA279" s="80">
        <f t="shared" si="69"/>
        <v>0.1</v>
      </c>
      <c r="AB279" s="57">
        <f t="shared" si="70"/>
        <v>1.2240000000000001E-2</v>
      </c>
      <c r="AC279" s="53">
        <f t="shared" si="71"/>
        <v>1.2240000000000001E-2</v>
      </c>
    </row>
    <row r="280" spans="20:29" x14ac:dyDescent="0.25">
      <c r="T280" s="61" t="s">
        <v>82</v>
      </c>
      <c r="U280" s="77" t="s">
        <v>78</v>
      </c>
      <c r="V280" s="64" t="s">
        <v>49</v>
      </c>
      <c r="W280" s="60">
        <f t="shared" si="69"/>
        <v>0.33333333333333331</v>
      </c>
      <c r="X280" s="54">
        <v>0.6</v>
      </c>
      <c r="Y280" s="55">
        <f t="shared" si="69"/>
        <v>0.68</v>
      </c>
      <c r="Z280" s="80">
        <f t="shared" si="69"/>
        <v>0.08</v>
      </c>
      <c r="AA280" s="55">
        <f t="shared" si="69"/>
        <v>0</v>
      </c>
      <c r="AB280" s="57">
        <f t="shared" si="70"/>
        <v>0</v>
      </c>
      <c r="AC280" s="53">
        <f t="shared" si="71"/>
        <v>0</v>
      </c>
    </row>
    <row r="281" spans="20:29" x14ac:dyDescent="0.25">
      <c r="T281" s="61" t="s">
        <v>82</v>
      </c>
      <c r="U281" s="77" t="s">
        <v>78</v>
      </c>
      <c r="V281" s="64" t="s">
        <v>50</v>
      </c>
      <c r="W281" s="60">
        <f t="shared" si="69"/>
        <v>0.33333333333333331</v>
      </c>
      <c r="X281" s="54">
        <v>0.6</v>
      </c>
      <c r="Y281" s="55">
        <f t="shared" si="69"/>
        <v>0.68</v>
      </c>
      <c r="Z281" s="80">
        <f t="shared" si="69"/>
        <v>0.08</v>
      </c>
      <c r="AA281" s="79">
        <f t="shared" si="69"/>
        <v>0.9</v>
      </c>
      <c r="AB281" s="57">
        <f t="shared" si="70"/>
        <v>9.7920000000000004E-3</v>
      </c>
      <c r="AC281" s="53">
        <f t="shared" si="71"/>
        <v>9.7920000000000004E-3</v>
      </c>
    </row>
    <row r="282" spans="20:29" x14ac:dyDescent="0.25">
      <c r="T282" s="61" t="s">
        <v>82</v>
      </c>
      <c r="U282" s="77" t="s">
        <v>78</v>
      </c>
      <c r="V282" s="64" t="s">
        <v>55</v>
      </c>
      <c r="W282" s="60">
        <f t="shared" si="69"/>
        <v>0.33333333333333331</v>
      </c>
      <c r="X282" s="54">
        <v>0.6</v>
      </c>
      <c r="Y282" s="55">
        <f t="shared" si="69"/>
        <v>0.68</v>
      </c>
      <c r="Z282" s="80">
        <f t="shared" si="69"/>
        <v>0.08</v>
      </c>
      <c r="AA282" s="80">
        <f t="shared" si="69"/>
        <v>0.1</v>
      </c>
      <c r="AB282" s="57">
        <f t="shared" si="70"/>
        <v>1.0880000000000002E-3</v>
      </c>
      <c r="AC282" s="53">
        <f t="shared" si="71"/>
        <v>1.0880000000000002E-3</v>
      </c>
    </row>
    <row r="283" spans="20:29" x14ac:dyDescent="0.25">
      <c r="T283" s="68" t="s">
        <v>82</v>
      </c>
      <c r="U283" s="75" t="s">
        <v>78</v>
      </c>
      <c r="V283" s="65" t="s">
        <v>56</v>
      </c>
      <c r="W283" s="60">
        <f t="shared" si="69"/>
        <v>0.33333333333333331</v>
      </c>
      <c r="X283" s="54">
        <v>0.6</v>
      </c>
      <c r="Y283" s="79">
        <f t="shared" si="69"/>
        <v>0.28000000000000003</v>
      </c>
      <c r="Z283" s="55">
        <f t="shared" si="69"/>
        <v>0.02</v>
      </c>
      <c r="AA283" s="55">
        <f t="shared" si="69"/>
        <v>0</v>
      </c>
      <c r="AB283" s="57">
        <f t="shared" si="70"/>
        <v>0</v>
      </c>
      <c r="AC283" s="53">
        <f t="shared" si="71"/>
        <v>0</v>
      </c>
    </row>
    <row r="284" spans="20:29" x14ac:dyDescent="0.25">
      <c r="T284" s="68" t="s">
        <v>82</v>
      </c>
      <c r="U284" s="75" t="s">
        <v>78</v>
      </c>
      <c r="V284" s="65" t="s">
        <v>57</v>
      </c>
      <c r="W284" s="60">
        <f t="shared" ref="W284:AA293" si="72">W257</f>
        <v>0.33333333333333331</v>
      </c>
      <c r="X284" s="54">
        <v>0.6</v>
      </c>
      <c r="Y284" s="79">
        <f t="shared" si="72"/>
        <v>0.28000000000000003</v>
      </c>
      <c r="Z284" s="55">
        <f t="shared" si="72"/>
        <v>0.02</v>
      </c>
      <c r="AA284" s="79">
        <f t="shared" si="72"/>
        <v>0.9</v>
      </c>
      <c r="AB284" s="57">
        <f t="shared" si="70"/>
        <v>1.0080000000000002E-3</v>
      </c>
      <c r="AC284" s="53">
        <f t="shared" si="71"/>
        <v>1.0080000000000002E-3</v>
      </c>
    </row>
    <row r="285" spans="20:29" x14ac:dyDescent="0.25">
      <c r="T285" s="68" t="s">
        <v>82</v>
      </c>
      <c r="U285" s="75" t="s">
        <v>78</v>
      </c>
      <c r="V285" s="65" t="s">
        <v>58</v>
      </c>
      <c r="W285" s="60">
        <f t="shared" si="72"/>
        <v>0.33333333333333331</v>
      </c>
      <c r="X285" s="54">
        <v>0.6</v>
      </c>
      <c r="Y285" s="79">
        <f t="shared" si="72"/>
        <v>0.28000000000000003</v>
      </c>
      <c r="Z285" s="55">
        <f t="shared" si="72"/>
        <v>0.02</v>
      </c>
      <c r="AA285" s="80">
        <f t="shared" si="72"/>
        <v>0.1</v>
      </c>
      <c r="AB285" s="57">
        <f t="shared" si="70"/>
        <v>1.1200000000000001E-4</v>
      </c>
      <c r="AC285" s="53">
        <f t="shared" si="71"/>
        <v>1.1200000000000001E-4</v>
      </c>
    </row>
    <row r="286" spans="20:29" x14ac:dyDescent="0.25">
      <c r="T286" s="68" t="s">
        <v>82</v>
      </c>
      <c r="U286" s="75" t="s">
        <v>78</v>
      </c>
      <c r="V286" s="65" t="s">
        <v>59</v>
      </c>
      <c r="W286" s="60">
        <f t="shared" si="72"/>
        <v>0.33333333333333331</v>
      </c>
      <c r="X286" s="54">
        <v>0.6</v>
      </c>
      <c r="Y286" s="79">
        <f t="shared" si="72"/>
        <v>0.28000000000000003</v>
      </c>
      <c r="Z286" s="79">
        <f t="shared" si="72"/>
        <v>0.9</v>
      </c>
      <c r="AA286" s="55">
        <f t="shared" si="72"/>
        <v>0</v>
      </c>
      <c r="AB286" s="57">
        <f t="shared" si="70"/>
        <v>0</v>
      </c>
      <c r="AC286" s="53">
        <f t="shared" si="71"/>
        <v>0</v>
      </c>
    </row>
    <row r="287" spans="20:29" x14ac:dyDescent="0.25">
      <c r="T287" s="68" t="s">
        <v>82</v>
      </c>
      <c r="U287" s="75" t="s">
        <v>78</v>
      </c>
      <c r="V287" s="65" t="s">
        <v>60</v>
      </c>
      <c r="W287" s="60">
        <f t="shared" si="72"/>
        <v>0.33333333333333331</v>
      </c>
      <c r="X287" s="54">
        <v>0.6</v>
      </c>
      <c r="Y287" s="79">
        <f t="shared" si="72"/>
        <v>0.28000000000000003</v>
      </c>
      <c r="Z287" s="79">
        <f t="shared" si="72"/>
        <v>0.9</v>
      </c>
      <c r="AA287" s="79">
        <f t="shared" si="72"/>
        <v>0.9</v>
      </c>
      <c r="AB287" s="57">
        <f t="shared" si="70"/>
        <v>4.5360000000000004E-2</v>
      </c>
      <c r="AC287" s="53">
        <f t="shared" si="71"/>
        <v>4.5360000000000004E-2</v>
      </c>
    </row>
    <row r="288" spans="20:29" x14ac:dyDescent="0.25">
      <c r="T288" s="68" t="s">
        <v>82</v>
      </c>
      <c r="U288" s="75" t="s">
        <v>78</v>
      </c>
      <c r="V288" s="65" t="s">
        <v>65</v>
      </c>
      <c r="W288" s="60">
        <f t="shared" si="72"/>
        <v>0.33333333333333331</v>
      </c>
      <c r="X288" s="54">
        <v>0.6</v>
      </c>
      <c r="Y288" s="79">
        <f t="shared" si="72"/>
        <v>0.28000000000000003</v>
      </c>
      <c r="Z288" s="79">
        <f t="shared" si="72"/>
        <v>0.9</v>
      </c>
      <c r="AA288" s="80">
        <f t="shared" si="72"/>
        <v>0.1</v>
      </c>
      <c r="AB288" s="57">
        <f t="shared" si="70"/>
        <v>5.0400000000000002E-3</v>
      </c>
      <c r="AC288" s="53">
        <f t="shared" si="71"/>
        <v>5.0400000000000002E-3</v>
      </c>
    </row>
    <row r="289" spans="20:29" x14ac:dyDescent="0.25">
      <c r="T289" s="68" t="s">
        <v>82</v>
      </c>
      <c r="U289" s="75" t="s">
        <v>78</v>
      </c>
      <c r="V289" s="65" t="s">
        <v>66</v>
      </c>
      <c r="W289" s="60">
        <f t="shared" si="72"/>
        <v>0.33333333333333331</v>
      </c>
      <c r="X289" s="54">
        <v>0.6</v>
      </c>
      <c r="Y289" s="79">
        <f t="shared" si="72"/>
        <v>0.28000000000000003</v>
      </c>
      <c r="Z289" s="80">
        <f t="shared" si="72"/>
        <v>0.08</v>
      </c>
      <c r="AA289" s="55">
        <f t="shared" si="72"/>
        <v>0</v>
      </c>
      <c r="AB289" s="57">
        <f t="shared" si="70"/>
        <v>0</v>
      </c>
      <c r="AC289" s="53">
        <f t="shared" si="71"/>
        <v>0</v>
      </c>
    </row>
    <row r="290" spans="20:29" x14ac:dyDescent="0.25">
      <c r="T290" s="68" t="s">
        <v>82</v>
      </c>
      <c r="U290" s="75" t="s">
        <v>78</v>
      </c>
      <c r="V290" s="65" t="s">
        <v>67</v>
      </c>
      <c r="W290" s="60">
        <f t="shared" si="72"/>
        <v>0.33333333333333331</v>
      </c>
      <c r="X290" s="54">
        <v>0.6</v>
      </c>
      <c r="Y290" s="79">
        <f t="shared" si="72"/>
        <v>0.28000000000000003</v>
      </c>
      <c r="Z290" s="80">
        <f t="shared" si="72"/>
        <v>0.08</v>
      </c>
      <c r="AA290" s="79">
        <f t="shared" si="72"/>
        <v>0.9</v>
      </c>
      <c r="AB290" s="57">
        <f t="shared" si="70"/>
        <v>4.0320000000000009E-3</v>
      </c>
      <c r="AC290" s="53">
        <f t="shared" si="71"/>
        <v>4.0320000000000009E-3</v>
      </c>
    </row>
    <row r="291" spans="20:29" x14ac:dyDescent="0.25">
      <c r="T291" s="68" t="s">
        <v>82</v>
      </c>
      <c r="U291" s="75" t="s">
        <v>78</v>
      </c>
      <c r="V291" s="65" t="s">
        <v>68</v>
      </c>
      <c r="W291" s="60">
        <f t="shared" si="72"/>
        <v>0.33333333333333331</v>
      </c>
      <c r="X291" s="54">
        <v>0.6</v>
      </c>
      <c r="Y291" s="79">
        <f t="shared" si="72"/>
        <v>0.28000000000000003</v>
      </c>
      <c r="Z291" s="80">
        <f t="shared" si="72"/>
        <v>0.08</v>
      </c>
      <c r="AA291" s="80">
        <f t="shared" si="72"/>
        <v>0.1</v>
      </c>
      <c r="AB291" s="57">
        <f t="shared" si="70"/>
        <v>4.4800000000000005E-4</v>
      </c>
      <c r="AC291" s="53">
        <f t="shared" si="71"/>
        <v>4.4800000000000005E-4</v>
      </c>
    </row>
    <row r="292" spans="20:29" x14ac:dyDescent="0.25">
      <c r="T292" s="69" t="s">
        <v>82</v>
      </c>
      <c r="U292" s="76" t="s">
        <v>78</v>
      </c>
      <c r="V292" s="66" t="s">
        <v>69</v>
      </c>
      <c r="W292" s="60">
        <f t="shared" si="72"/>
        <v>0.33333333333333331</v>
      </c>
      <c r="X292" s="54">
        <v>0.6</v>
      </c>
      <c r="Y292" s="80">
        <f t="shared" si="72"/>
        <v>0.04</v>
      </c>
      <c r="Z292" s="55">
        <f t="shared" si="72"/>
        <v>0.02</v>
      </c>
      <c r="AA292" s="55">
        <f t="shared" si="72"/>
        <v>0</v>
      </c>
      <c r="AB292" s="57">
        <f t="shared" si="70"/>
        <v>0</v>
      </c>
      <c r="AC292" s="53">
        <f t="shared" si="71"/>
        <v>0</v>
      </c>
    </row>
    <row r="293" spans="20:29" x14ac:dyDescent="0.25">
      <c r="T293" s="69" t="s">
        <v>82</v>
      </c>
      <c r="U293" s="76" t="s">
        <v>78</v>
      </c>
      <c r="V293" s="66" t="s">
        <v>70</v>
      </c>
      <c r="W293" s="60">
        <f t="shared" si="72"/>
        <v>0.33333333333333331</v>
      </c>
      <c r="X293" s="54">
        <v>0.6</v>
      </c>
      <c r="Y293" s="80">
        <f t="shared" si="72"/>
        <v>0.04</v>
      </c>
      <c r="Z293" s="55">
        <f t="shared" si="72"/>
        <v>0.02</v>
      </c>
      <c r="AA293" s="79">
        <f t="shared" si="72"/>
        <v>0.9</v>
      </c>
      <c r="AB293" s="57">
        <f t="shared" si="70"/>
        <v>1.44E-4</v>
      </c>
      <c r="AC293" s="53">
        <f t="shared" si="71"/>
        <v>1.44E-4</v>
      </c>
    </row>
    <row r="294" spans="20:29" x14ac:dyDescent="0.25">
      <c r="T294" s="69" t="s">
        <v>82</v>
      </c>
      <c r="U294" s="76" t="s">
        <v>78</v>
      </c>
      <c r="V294" s="66" t="s">
        <v>71</v>
      </c>
      <c r="W294" s="60">
        <f t="shared" ref="W294:AA300" si="73">W267</f>
        <v>0.33333333333333331</v>
      </c>
      <c r="X294" s="54">
        <v>0.6</v>
      </c>
      <c r="Y294" s="80">
        <f t="shared" si="73"/>
        <v>0.04</v>
      </c>
      <c r="Z294" s="55">
        <f t="shared" si="73"/>
        <v>0.02</v>
      </c>
      <c r="AA294" s="80">
        <f t="shared" si="73"/>
        <v>0.1</v>
      </c>
      <c r="AB294" s="57">
        <f t="shared" si="70"/>
        <v>1.6000000000000003E-5</v>
      </c>
      <c r="AC294" s="53">
        <f t="shared" si="71"/>
        <v>1.6000000000000003E-5</v>
      </c>
    </row>
    <row r="295" spans="20:29" x14ac:dyDescent="0.25">
      <c r="T295" s="69" t="s">
        <v>82</v>
      </c>
      <c r="U295" s="76" t="s">
        <v>78</v>
      </c>
      <c r="V295" s="66" t="s">
        <v>72</v>
      </c>
      <c r="W295" s="60">
        <f t="shared" si="73"/>
        <v>0.33333333333333331</v>
      </c>
      <c r="X295" s="54">
        <v>0.6</v>
      </c>
      <c r="Y295" s="80">
        <f t="shared" si="73"/>
        <v>0.04</v>
      </c>
      <c r="Z295" s="79">
        <f t="shared" si="73"/>
        <v>0.9</v>
      </c>
      <c r="AA295" s="55">
        <f t="shared" si="73"/>
        <v>0</v>
      </c>
      <c r="AB295" s="57">
        <f t="shared" si="70"/>
        <v>0</v>
      </c>
      <c r="AC295" s="53">
        <f t="shared" si="71"/>
        <v>0</v>
      </c>
    </row>
    <row r="296" spans="20:29" x14ac:dyDescent="0.25">
      <c r="T296" s="69" t="s">
        <v>82</v>
      </c>
      <c r="U296" s="76" t="s">
        <v>78</v>
      </c>
      <c r="V296" s="66" t="s">
        <v>73</v>
      </c>
      <c r="W296" s="60">
        <f t="shared" si="73"/>
        <v>0.33333333333333331</v>
      </c>
      <c r="X296" s="54">
        <v>0.6</v>
      </c>
      <c r="Y296" s="80">
        <f t="shared" si="73"/>
        <v>0.04</v>
      </c>
      <c r="Z296" s="79">
        <f t="shared" si="73"/>
        <v>0.9</v>
      </c>
      <c r="AA296" s="79">
        <f t="shared" si="73"/>
        <v>0.9</v>
      </c>
      <c r="AB296" s="57">
        <f t="shared" si="70"/>
        <v>6.4800000000000005E-3</v>
      </c>
      <c r="AC296" s="53">
        <f t="shared" si="71"/>
        <v>6.4800000000000005E-3</v>
      </c>
    </row>
    <row r="297" spans="20:29" x14ac:dyDescent="0.25">
      <c r="T297" s="69" t="s">
        <v>82</v>
      </c>
      <c r="U297" s="76" t="s">
        <v>78</v>
      </c>
      <c r="V297" s="66" t="s">
        <v>74</v>
      </c>
      <c r="W297" s="60">
        <f t="shared" si="73"/>
        <v>0.33333333333333331</v>
      </c>
      <c r="X297" s="54">
        <v>0.6</v>
      </c>
      <c r="Y297" s="80">
        <f t="shared" si="73"/>
        <v>0.04</v>
      </c>
      <c r="Z297" s="79">
        <f t="shared" si="73"/>
        <v>0.9</v>
      </c>
      <c r="AA297" s="80">
        <f t="shared" si="73"/>
        <v>0.1</v>
      </c>
      <c r="AB297" s="57">
        <f t="shared" si="70"/>
        <v>7.2000000000000015E-4</v>
      </c>
      <c r="AC297" s="53">
        <f t="shared" si="71"/>
        <v>7.2000000000000015E-4</v>
      </c>
    </row>
    <row r="298" spans="20:29" x14ac:dyDescent="0.25">
      <c r="T298" s="69" t="s">
        <v>82</v>
      </c>
      <c r="U298" s="76" t="s">
        <v>78</v>
      </c>
      <c r="V298" s="66" t="s">
        <v>75</v>
      </c>
      <c r="W298" s="60">
        <f t="shared" si="73"/>
        <v>0.33333333333333331</v>
      </c>
      <c r="X298" s="54">
        <v>0.6</v>
      </c>
      <c r="Y298" s="80">
        <f t="shared" si="73"/>
        <v>0.04</v>
      </c>
      <c r="Z298" s="80">
        <f t="shared" si="73"/>
        <v>0.08</v>
      </c>
      <c r="AA298" s="55">
        <f t="shared" si="73"/>
        <v>0</v>
      </c>
      <c r="AB298" s="57">
        <f t="shared" si="70"/>
        <v>0</v>
      </c>
      <c r="AC298" s="53">
        <f t="shared" si="71"/>
        <v>0</v>
      </c>
    </row>
    <row r="299" spans="20:29" x14ac:dyDescent="0.25">
      <c r="T299" s="69" t="s">
        <v>82</v>
      </c>
      <c r="U299" s="76" t="s">
        <v>78</v>
      </c>
      <c r="V299" s="66" t="s">
        <v>76</v>
      </c>
      <c r="W299" s="60">
        <f t="shared" si="73"/>
        <v>0.33333333333333331</v>
      </c>
      <c r="X299" s="54">
        <v>0.6</v>
      </c>
      <c r="Y299" s="80">
        <f t="shared" si="73"/>
        <v>0.04</v>
      </c>
      <c r="Z299" s="80">
        <f t="shared" si="73"/>
        <v>0.08</v>
      </c>
      <c r="AA299" s="79">
        <f t="shared" si="73"/>
        <v>0.9</v>
      </c>
      <c r="AB299" s="57">
        <f t="shared" si="70"/>
        <v>5.7600000000000001E-4</v>
      </c>
      <c r="AC299" s="53">
        <f t="shared" si="71"/>
        <v>5.7600000000000001E-4</v>
      </c>
    </row>
    <row r="300" spans="20:29" x14ac:dyDescent="0.25">
      <c r="T300" s="69" t="s">
        <v>82</v>
      </c>
      <c r="U300" s="76" t="s">
        <v>78</v>
      </c>
      <c r="V300" s="67" t="s">
        <v>77</v>
      </c>
      <c r="W300" s="60">
        <f t="shared" si="73"/>
        <v>0.33333333333333331</v>
      </c>
      <c r="X300" s="54">
        <v>0.6</v>
      </c>
      <c r="Y300" s="80">
        <f t="shared" si="73"/>
        <v>0.04</v>
      </c>
      <c r="Z300" s="80">
        <f t="shared" si="73"/>
        <v>0.08</v>
      </c>
      <c r="AA300" s="80">
        <f t="shared" si="73"/>
        <v>0.1</v>
      </c>
      <c r="AB300" s="57">
        <f t="shared" si="70"/>
        <v>6.4000000000000011E-5</v>
      </c>
      <c r="AC300" s="53">
        <f t="shared" si="71"/>
        <v>6.4000000000000011E-5</v>
      </c>
    </row>
    <row r="301" spans="20:29" x14ac:dyDescent="0.25">
      <c r="T301" s="61" t="s">
        <v>82</v>
      </c>
      <c r="U301" s="77" t="s">
        <v>79</v>
      </c>
      <c r="V301" s="62" t="s">
        <v>39</v>
      </c>
      <c r="W301" s="60">
        <f t="shared" ref="W301:AA310" si="74">W247</f>
        <v>0.33333333333333331</v>
      </c>
      <c r="X301" s="54">
        <v>0.28000000000000003</v>
      </c>
      <c r="Y301" s="55">
        <f t="shared" si="74"/>
        <v>0.68</v>
      </c>
      <c r="Z301" s="55">
        <f t="shared" si="74"/>
        <v>0.02</v>
      </c>
      <c r="AA301" s="55">
        <f t="shared" si="74"/>
        <v>0</v>
      </c>
      <c r="AB301" s="57">
        <f>PRODUCT(W301:AA301)</f>
        <v>0</v>
      </c>
      <c r="AC301" s="53">
        <f>AB301</f>
        <v>0</v>
      </c>
    </row>
    <row r="302" spans="20:29" x14ac:dyDescent="0.25">
      <c r="T302" s="61" t="s">
        <v>82</v>
      </c>
      <c r="U302" s="77" t="s">
        <v>79</v>
      </c>
      <c r="V302" s="64" t="s">
        <v>40</v>
      </c>
      <c r="W302" s="60">
        <f t="shared" si="74"/>
        <v>0.33333333333333331</v>
      </c>
      <c r="X302" s="54">
        <v>0.28000000000000003</v>
      </c>
      <c r="Y302" s="55">
        <f t="shared" si="74"/>
        <v>0.68</v>
      </c>
      <c r="Z302" s="55">
        <f t="shared" si="74"/>
        <v>0.02</v>
      </c>
      <c r="AA302" s="79">
        <f t="shared" si="74"/>
        <v>0.9</v>
      </c>
      <c r="AB302" s="57">
        <f t="shared" ref="AB302:AB327" si="75">PRODUCT(W302:AA302)</f>
        <v>1.1424000000000002E-3</v>
      </c>
      <c r="AC302" s="53">
        <f t="shared" ref="AC302:AC327" si="76">AB302</f>
        <v>1.1424000000000002E-3</v>
      </c>
    </row>
    <row r="303" spans="20:29" x14ac:dyDescent="0.25">
      <c r="T303" s="61" t="s">
        <v>82</v>
      </c>
      <c r="U303" s="77" t="s">
        <v>79</v>
      </c>
      <c r="V303" s="64" t="s">
        <v>45</v>
      </c>
      <c r="W303" s="60">
        <f t="shared" si="74"/>
        <v>0.33333333333333331</v>
      </c>
      <c r="X303" s="54">
        <v>0.28000000000000003</v>
      </c>
      <c r="Y303" s="55">
        <f t="shared" si="74"/>
        <v>0.68</v>
      </c>
      <c r="Z303" s="55">
        <f t="shared" si="74"/>
        <v>0.02</v>
      </c>
      <c r="AA303" s="80">
        <f t="shared" si="74"/>
        <v>0.1</v>
      </c>
      <c r="AB303" s="57">
        <f t="shared" si="75"/>
        <v>1.2693333333333335E-4</v>
      </c>
      <c r="AC303" s="53">
        <f t="shared" si="76"/>
        <v>1.2693333333333335E-4</v>
      </c>
    </row>
    <row r="304" spans="20:29" x14ac:dyDescent="0.25">
      <c r="T304" s="61" t="s">
        <v>82</v>
      </c>
      <c r="U304" s="77" t="s">
        <v>79</v>
      </c>
      <c r="V304" s="64" t="s">
        <v>46</v>
      </c>
      <c r="W304" s="60">
        <f t="shared" si="74"/>
        <v>0.33333333333333331</v>
      </c>
      <c r="X304" s="54">
        <v>0.28000000000000003</v>
      </c>
      <c r="Y304" s="55">
        <f t="shared" si="74"/>
        <v>0.68</v>
      </c>
      <c r="Z304" s="79">
        <f t="shared" si="74"/>
        <v>0.9</v>
      </c>
      <c r="AA304" s="55">
        <f t="shared" si="74"/>
        <v>0</v>
      </c>
      <c r="AB304" s="57">
        <f t="shared" si="75"/>
        <v>0</v>
      </c>
      <c r="AC304" s="53">
        <f t="shared" si="76"/>
        <v>0</v>
      </c>
    </row>
    <row r="305" spans="19:29" x14ac:dyDescent="0.25">
      <c r="T305" s="61" t="s">
        <v>82</v>
      </c>
      <c r="U305" s="77" t="s">
        <v>79</v>
      </c>
      <c r="V305" s="64" t="s">
        <v>47</v>
      </c>
      <c r="W305" s="60">
        <f t="shared" si="74"/>
        <v>0.33333333333333331</v>
      </c>
      <c r="X305" s="54">
        <v>0.28000000000000003</v>
      </c>
      <c r="Y305" s="55">
        <f t="shared" si="74"/>
        <v>0.68</v>
      </c>
      <c r="Z305" s="79">
        <f t="shared" si="74"/>
        <v>0.9</v>
      </c>
      <c r="AA305" s="79">
        <f t="shared" si="74"/>
        <v>0.9</v>
      </c>
      <c r="AB305" s="57">
        <f t="shared" si="75"/>
        <v>5.1408000000000002E-2</v>
      </c>
      <c r="AC305" s="53">
        <f t="shared" si="76"/>
        <v>5.1408000000000002E-2</v>
      </c>
    </row>
    <row r="306" spans="19:29" x14ac:dyDescent="0.25">
      <c r="T306" s="61" t="s">
        <v>82</v>
      </c>
      <c r="U306" s="77" t="s">
        <v>79</v>
      </c>
      <c r="V306" s="64" t="s">
        <v>48</v>
      </c>
      <c r="W306" s="60">
        <f t="shared" si="74"/>
        <v>0.33333333333333331</v>
      </c>
      <c r="X306" s="54">
        <v>0.28000000000000003</v>
      </c>
      <c r="Y306" s="55">
        <f t="shared" si="74"/>
        <v>0.68</v>
      </c>
      <c r="Z306" s="79">
        <f t="shared" si="74"/>
        <v>0.9</v>
      </c>
      <c r="AA306" s="80">
        <f t="shared" si="74"/>
        <v>0.1</v>
      </c>
      <c r="AB306" s="57">
        <f t="shared" si="75"/>
        <v>5.7120000000000009E-3</v>
      </c>
      <c r="AC306" s="53">
        <f t="shared" si="76"/>
        <v>5.7120000000000009E-3</v>
      </c>
    </row>
    <row r="307" spans="19:29" x14ac:dyDescent="0.25">
      <c r="T307" s="61" t="s">
        <v>82</v>
      </c>
      <c r="U307" s="77" t="s">
        <v>79</v>
      </c>
      <c r="V307" s="64" t="s">
        <v>49</v>
      </c>
      <c r="W307" s="60">
        <f t="shared" si="74"/>
        <v>0.33333333333333331</v>
      </c>
      <c r="X307" s="54">
        <v>0.28000000000000003</v>
      </c>
      <c r="Y307" s="55">
        <f t="shared" si="74"/>
        <v>0.68</v>
      </c>
      <c r="Z307" s="80">
        <f t="shared" si="74"/>
        <v>0.08</v>
      </c>
      <c r="AA307" s="55">
        <f t="shared" si="74"/>
        <v>0</v>
      </c>
      <c r="AB307" s="57">
        <f t="shared" si="75"/>
        <v>0</v>
      </c>
      <c r="AC307" s="53">
        <f t="shared" si="76"/>
        <v>0</v>
      </c>
    </row>
    <row r="308" spans="19:29" x14ac:dyDescent="0.25">
      <c r="T308" s="61" t="s">
        <v>82</v>
      </c>
      <c r="U308" s="77" t="s">
        <v>79</v>
      </c>
      <c r="V308" s="64" t="s">
        <v>50</v>
      </c>
      <c r="W308" s="60">
        <f t="shared" si="74"/>
        <v>0.33333333333333331</v>
      </c>
      <c r="X308" s="54">
        <v>0.28000000000000003</v>
      </c>
      <c r="Y308" s="55">
        <f t="shared" si="74"/>
        <v>0.68</v>
      </c>
      <c r="Z308" s="80">
        <f t="shared" si="74"/>
        <v>0.08</v>
      </c>
      <c r="AA308" s="79">
        <f t="shared" si="74"/>
        <v>0.9</v>
      </c>
      <c r="AB308" s="57">
        <f t="shared" si="75"/>
        <v>4.5696000000000009E-3</v>
      </c>
      <c r="AC308" s="53">
        <f t="shared" si="76"/>
        <v>4.5696000000000009E-3</v>
      </c>
    </row>
    <row r="309" spans="19:29" x14ac:dyDescent="0.25">
      <c r="T309" s="61" t="s">
        <v>82</v>
      </c>
      <c r="U309" s="77" t="s">
        <v>79</v>
      </c>
      <c r="V309" s="64" t="s">
        <v>55</v>
      </c>
      <c r="W309" s="60">
        <f t="shared" si="74"/>
        <v>0.33333333333333331</v>
      </c>
      <c r="X309" s="54">
        <v>0.28000000000000003</v>
      </c>
      <c r="Y309" s="55">
        <f t="shared" si="74"/>
        <v>0.68</v>
      </c>
      <c r="Z309" s="80">
        <f t="shared" si="74"/>
        <v>0.08</v>
      </c>
      <c r="AA309" s="80">
        <f t="shared" si="74"/>
        <v>0.1</v>
      </c>
      <c r="AB309" s="57">
        <f t="shared" si="75"/>
        <v>5.0773333333333339E-4</v>
      </c>
      <c r="AC309" s="53">
        <f t="shared" si="76"/>
        <v>5.0773333333333339E-4</v>
      </c>
    </row>
    <row r="310" spans="19:29" x14ac:dyDescent="0.25">
      <c r="T310" s="68" t="s">
        <v>82</v>
      </c>
      <c r="U310" s="75" t="s">
        <v>79</v>
      </c>
      <c r="V310" s="65" t="s">
        <v>56</v>
      </c>
      <c r="W310" s="60">
        <f t="shared" si="74"/>
        <v>0.33333333333333331</v>
      </c>
      <c r="X310" s="54">
        <v>0.28000000000000003</v>
      </c>
      <c r="Y310" s="79">
        <f t="shared" si="74"/>
        <v>0.28000000000000003</v>
      </c>
      <c r="Z310" s="55">
        <f t="shared" si="74"/>
        <v>0.02</v>
      </c>
      <c r="AA310" s="55">
        <f t="shared" si="74"/>
        <v>0</v>
      </c>
      <c r="AB310" s="57">
        <f t="shared" si="75"/>
        <v>0</v>
      </c>
      <c r="AC310" s="53">
        <f t="shared" si="76"/>
        <v>0</v>
      </c>
    </row>
    <row r="311" spans="19:29" x14ac:dyDescent="0.25">
      <c r="T311" s="68" t="s">
        <v>82</v>
      </c>
      <c r="U311" s="75" t="s">
        <v>79</v>
      </c>
      <c r="V311" s="65" t="s">
        <v>57</v>
      </c>
      <c r="W311" s="60">
        <f t="shared" ref="W311:AA320" si="77">W257</f>
        <v>0.33333333333333331</v>
      </c>
      <c r="X311" s="54">
        <v>0.28000000000000003</v>
      </c>
      <c r="Y311" s="79">
        <f t="shared" si="77"/>
        <v>0.28000000000000003</v>
      </c>
      <c r="Z311" s="55">
        <f t="shared" si="77"/>
        <v>0.02</v>
      </c>
      <c r="AA311" s="79">
        <f t="shared" si="77"/>
        <v>0.9</v>
      </c>
      <c r="AB311" s="57">
        <f t="shared" si="75"/>
        <v>4.7040000000000016E-4</v>
      </c>
      <c r="AC311" s="53">
        <f t="shared" si="76"/>
        <v>4.7040000000000016E-4</v>
      </c>
    </row>
    <row r="312" spans="19:29" x14ac:dyDescent="0.25">
      <c r="T312" s="68" t="s">
        <v>82</v>
      </c>
      <c r="U312" s="75" t="s">
        <v>79</v>
      </c>
      <c r="V312" s="65" t="s">
        <v>58</v>
      </c>
      <c r="W312" s="60">
        <f t="shared" si="77"/>
        <v>0.33333333333333331</v>
      </c>
      <c r="X312" s="54">
        <v>0.28000000000000003</v>
      </c>
      <c r="Y312" s="79">
        <f t="shared" si="77"/>
        <v>0.28000000000000003</v>
      </c>
      <c r="Z312" s="55">
        <f t="shared" si="77"/>
        <v>0.02</v>
      </c>
      <c r="AA312" s="80">
        <f t="shared" si="77"/>
        <v>0.1</v>
      </c>
      <c r="AB312" s="57">
        <f t="shared" si="75"/>
        <v>5.2266666666666686E-5</v>
      </c>
      <c r="AC312" s="53">
        <f t="shared" si="76"/>
        <v>5.2266666666666686E-5</v>
      </c>
    </row>
    <row r="313" spans="19:29" x14ac:dyDescent="0.25">
      <c r="T313" s="68" t="s">
        <v>82</v>
      </c>
      <c r="U313" s="75" t="s">
        <v>79</v>
      </c>
      <c r="V313" s="65" t="s">
        <v>59</v>
      </c>
      <c r="W313" s="60">
        <f t="shared" si="77"/>
        <v>0.33333333333333331</v>
      </c>
      <c r="X313" s="54">
        <v>0.28000000000000003</v>
      </c>
      <c r="Y313" s="79">
        <f t="shared" si="77"/>
        <v>0.28000000000000003</v>
      </c>
      <c r="Z313" s="79">
        <f t="shared" si="77"/>
        <v>0.9</v>
      </c>
      <c r="AA313" s="55">
        <f t="shared" si="77"/>
        <v>0</v>
      </c>
      <c r="AB313" s="57">
        <f t="shared" si="75"/>
        <v>0</v>
      </c>
      <c r="AC313" s="53">
        <f t="shared" si="76"/>
        <v>0</v>
      </c>
    </row>
    <row r="314" spans="19:29" x14ac:dyDescent="0.25">
      <c r="T314" s="68" t="s">
        <v>82</v>
      </c>
      <c r="U314" s="75" t="s">
        <v>79</v>
      </c>
      <c r="V314" s="65" t="s">
        <v>60</v>
      </c>
      <c r="W314" s="60">
        <f t="shared" si="77"/>
        <v>0.33333333333333331</v>
      </c>
      <c r="X314" s="54">
        <v>0.28000000000000003</v>
      </c>
      <c r="Y314" s="79">
        <f t="shared" si="77"/>
        <v>0.28000000000000003</v>
      </c>
      <c r="Z314" s="79">
        <f t="shared" si="77"/>
        <v>0.9</v>
      </c>
      <c r="AA314" s="79">
        <f t="shared" si="77"/>
        <v>0.9</v>
      </c>
      <c r="AB314" s="57">
        <f t="shared" si="75"/>
        <v>2.1168000000000006E-2</v>
      </c>
      <c r="AC314" s="53">
        <f t="shared" si="76"/>
        <v>2.1168000000000006E-2</v>
      </c>
    </row>
    <row r="315" spans="19:29" x14ac:dyDescent="0.25">
      <c r="T315" s="68" t="s">
        <v>82</v>
      </c>
      <c r="U315" s="75" t="s">
        <v>79</v>
      </c>
      <c r="V315" s="65" t="s">
        <v>65</v>
      </c>
      <c r="W315" s="60">
        <f t="shared" si="77"/>
        <v>0.33333333333333331</v>
      </c>
      <c r="X315" s="54">
        <v>0.28000000000000003</v>
      </c>
      <c r="Y315" s="79">
        <f t="shared" si="77"/>
        <v>0.28000000000000003</v>
      </c>
      <c r="Z315" s="79">
        <f t="shared" si="77"/>
        <v>0.9</v>
      </c>
      <c r="AA315" s="80">
        <f t="shared" si="77"/>
        <v>0.1</v>
      </c>
      <c r="AB315" s="57">
        <f t="shared" si="75"/>
        <v>2.3520000000000008E-3</v>
      </c>
      <c r="AC315" s="53">
        <f t="shared" si="76"/>
        <v>2.3520000000000008E-3</v>
      </c>
    </row>
    <row r="316" spans="19:29" x14ac:dyDescent="0.25">
      <c r="T316" s="68" t="s">
        <v>82</v>
      </c>
      <c r="U316" s="75" t="s">
        <v>79</v>
      </c>
      <c r="V316" s="65" t="s">
        <v>66</v>
      </c>
      <c r="W316" s="60">
        <f t="shared" si="77"/>
        <v>0.33333333333333331</v>
      </c>
      <c r="X316" s="54">
        <v>0.28000000000000003</v>
      </c>
      <c r="Y316" s="79">
        <f t="shared" si="77"/>
        <v>0.28000000000000003</v>
      </c>
      <c r="Z316" s="80">
        <f t="shared" si="77"/>
        <v>0.08</v>
      </c>
      <c r="AA316" s="55">
        <f t="shared" si="77"/>
        <v>0</v>
      </c>
      <c r="AB316" s="57">
        <f t="shared" si="75"/>
        <v>0</v>
      </c>
      <c r="AC316" s="53">
        <f t="shared" si="76"/>
        <v>0</v>
      </c>
    </row>
    <row r="317" spans="19:29" x14ac:dyDescent="0.25">
      <c r="T317" s="68" t="s">
        <v>82</v>
      </c>
      <c r="U317" s="75" t="s">
        <v>79</v>
      </c>
      <c r="V317" s="65" t="s">
        <v>67</v>
      </c>
      <c r="W317" s="60">
        <f t="shared" si="77"/>
        <v>0.33333333333333331</v>
      </c>
      <c r="X317" s="54">
        <v>0.28000000000000003</v>
      </c>
      <c r="Y317" s="79">
        <f t="shared" si="77"/>
        <v>0.28000000000000003</v>
      </c>
      <c r="Z317" s="80">
        <f t="shared" si="77"/>
        <v>0.08</v>
      </c>
      <c r="AA317" s="79">
        <f t="shared" si="77"/>
        <v>0.9</v>
      </c>
      <c r="AB317" s="57">
        <f t="shared" si="75"/>
        <v>1.8816000000000006E-3</v>
      </c>
      <c r="AC317" s="53">
        <f t="shared" si="76"/>
        <v>1.8816000000000006E-3</v>
      </c>
    </row>
    <row r="318" spans="19:29" x14ac:dyDescent="0.25">
      <c r="S318" s="82"/>
      <c r="T318" s="68" t="s">
        <v>82</v>
      </c>
      <c r="U318" s="75" t="s">
        <v>79</v>
      </c>
      <c r="V318" s="65" t="s">
        <v>68</v>
      </c>
      <c r="W318" s="60">
        <f t="shared" si="77"/>
        <v>0.33333333333333331</v>
      </c>
      <c r="X318" s="54">
        <v>0.28000000000000003</v>
      </c>
      <c r="Y318" s="79">
        <f t="shared" si="77"/>
        <v>0.28000000000000003</v>
      </c>
      <c r="Z318" s="80">
        <f t="shared" si="77"/>
        <v>0.08</v>
      </c>
      <c r="AA318" s="80">
        <f t="shared" si="77"/>
        <v>0.1</v>
      </c>
      <c r="AB318" s="57">
        <f t="shared" si="75"/>
        <v>2.0906666666666674E-4</v>
      </c>
      <c r="AC318" s="53">
        <f t="shared" si="76"/>
        <v>2.0906666666666674E-4</v>
      </c>
    </row>
    <row r="319" spans="19:29" x14ac:dyDescent="0.25">
      <c r="T319" s="69" t="s">
        <v>82</v>
      </c>
      <c r="U319" s="76" t="s">
        <v>79</v>
      </c>
      <c r="V319" s="66" t="s">
        <v>69</v>
      </c>
      <c r="W319" s="60">
        <f t="shared" si="77"/>
        <v>0.33333333333333331</v>
      </c>
      <c r="X319" s="54">
        <v>0.28000000000000003</v>
      </c>
      <c r="Y319" s="80">
        <f t="shared" si="77"/>
        <v>0.04</v>
      </c>
      <c r="Z319" s="55">
        <f t="shared" si="77"/>
        <v>0.02</v>
      </c>
      <c r="AA319" s="55">
        <f t="shared" si="77"/>
        <v>0</v>
      </c>
      <c r="AB319" s="57">
        <f t="shared" si="75"/>
        <v>0</v>
      </c>
      <c r="AC319" s="53">
        <f t="shared" si="76"/>
        <v>0</v>
      </c>
    </row>
    <row r="320" spans="19:29" x14ac:dyDescent="0.25">
      <c r="T320" s="69" t="s">
        <v>82</v>
      </c>
      <c r="U320" s="76" t="s">
        <v>79</v>
      </c>
      <c r="V320" s="66" t="s">
        <v>70</v>
      </c>
      <c r="W320" s="60">
        <f t="shared" si="77"/>
        <v>0.33333333333333331</v>
      </c>
      <c r="X320" s="54">
        <v>0.28000000000000003</v>
      </c>
      <c r="Y320" s="80">
        <f t="shared" si="77"/>
        <v>0.04</v>
      </c>
      <c r="Z320" s="55">
        <f t="shared" si="77"/>
        <v>0.02</v>
      </c>
      <c r="AA320" s="79">
        <f t="shared" si="77"/>
        <v>0.9</v>
      </c>
      <c r="AB320" s="57">
        <f t="shared" si="75"/>
        <v>6.7200000000000007E-5</v>
      </c>
      <c r="AC320" s="53">
        <f t="shared" si="76"/>
        <v>6.7200000000000007E-5</v>
      </c>
    </row>
    <row r="321" spans="20:29" x14ac:dyDescent="0.25">
      <c r="T321" s="69" t="s">
        <v>82</v>
      </c>
      <c r="U321" s="76" t="s">
        <v>79</v>
      </c>
      <c r="V321" s="66" t="s">
        <v>71</v>
      </c>
      <c r="W321" s="60">
        <f t="shared" ref="W321:AA327" si="78">W267</f>
        <v>0.33333333333333331</v>
      </c>
      <c r="X321" s="54">
        <v>0.28000000000000003</v>
      </c>
      <c r="Y321" s="80">
        <f t="shared" si="78"/>
        <v>0.04</v>
      </c>
      <c r="Z321" s="55">
        <f t="shared" si="78"/>
        <v>0.02</v>
      </c>
      <c r="AA321" s="80">
        <f t="shared" si="78"/>
        <v>0.1</v>
      </c>
      <c r="AB321" s="57">
        <f t="shared" si="75"/>
        <v>7.4666666666666675E-6</v>
      </c>
      <c r="AC321" s="53">
        <f t="shared" si="76"/>
        <v>7.4666666666666675E-6</v>
      </c>
    </row>
    <row r="322" spans="20:29" x14ac:dyDescent="0.25">
      <c r="T322" s="69" t="s">
        <v>82</v>
      </c>
      <c r="U322" s="76" t="s">
        <v>79</v>
      </c>
      <c r="V322" s="66" t="s">
        <v>72</v>
      </c>
      <c r="W322" s="60">
        <f t="shared" si="78"/>
        <v>0.33333333333333331</v>
      </c>
      <c r="X322" s="54">
        <v>0.28000000000000003</v>
      </c>
      <c r="Y322" s="80">
        <f t="shared" si="78"/>
        <v>0.04</v>
      </c>
      <c r="Z322" s="79">
        <f t="shared" si="78"/>
        <v>0.9</v>
      </c>
      <c r="AA322" s="55">
        <f t="shared" si="78"/>
        <v>0</v>
      </c>
      <c r="AB322" s="57">
        <f t="shared" si="75"/>
        <v>0</v>
      </c>
      <c r="AC322" s="53">
        <f t="shared" si="76"/>
        <v>0</v>
      </c>
    </row>
    <row r="323" spans="20:29" x14ac:dyDescent="0.25">
      <c r="T323" s="69" t="s">
        <v>82</v>
      </c>
      <c r="U323" s="76" t="s">
        <v>79</v>
      </c>
      <c r="V323" s="66" t="s">
        <v>73</v>
      </c>
      <c r="W323" s="60">
        <f t="shared" si="78"/>
        <v>0.33333333333333331</v>
      </c>
      <c r="X323" s="54">
        <v>0.28000000000000003</v>
      </c>
      <c r="Y323" s="80">
        <f t="shared" si="78"/>
        <v>0.04</v>
      </c>
      <c r="Z323" s="79">
        <f t="shared" si="78"/>
        <v>0.9</v>
      </c>
      <c r="AA323" s="79">
        <f t="shared" si="78"/>
        <v>0.9</v>
      </c>
      <c r="AB323" s="57">
        <f t="shared" si="75"/>
        <v>3.0240000000000006E-3</v>
      </c>
      <c r="AC323" s="53">
        <f t="shared" si="76"/>
        <v>3.0240000000000006E-3</v>
      </c>
    </row>
    <row r="324" spans="20:29" x14ac:dyDescent="0.25">
      <c r="T324" s="69" t="s">
        <v>82</v>
      </c>
      <c r="U324" s="76" t="s">
        <v>79</v>
      </c>
      <c r="V324" s="66" t="s">
        <v>74</v>
      </c>
      <c r="W324" s="60">
        <f t="shared" si="78"/>
        <v>0.33333333333333331</v>
      </c>
      <c r="X324" s="54">
        <v>0.28000000000000003</v>
      </c>
      <c r="Y324" s="80">
        <f t="shared" si="78"/>
        <v>0.04</v>
      </c>
      <c r="Z324" s="79">
        <f t="shared" si="78"/>
        <v>0.9</v>
      </c>
      <c r="AA324" s="80">
        <f t="shared" si="78"/>
        <v>0.1</v>
      </c>
      <c r="AB324" s="57">
        <f t="shared" si="75"/>
        <v>3.3600000000000009E-4</v>
      </c>
      <c r="AC324" s="53">
        <f t="shared" si="76"/>
        <v>3.3600000000000009E-4</v>
      </c>
    </row>
    <row r="325" spans="20:29" x14ac:dyDescent="0.25">
      <c r="T325" s="69" t="s">
        <v>82</v>
      </c>
      <c r="U325" s="76" t="s">
        <v>79</v>
      </c>
      <c r="V325" s="66" t="s">
        <v>75</v>
      </c>
      <c r="W325" s="60">
        <f t="shared" si="78"/>
        <v>0.33333333333333331</v>
      </c>
      <c r="X325" s="54">
        <v>0.28000000000000003</v>
      </c>
      <c r="Y325" s="80">
        <f t="shared" si="78"/>
        <v>0.04</v>
      </c>
      <c r="Z325" s="80">
        <f t="shared" si="78"/>
        <v>0.08</v>
      </c>
      <c r="AA325" s="55">
        <f t="shared" si="78"/>
        <v>0</v>
      </c>
      <c r="AB325" s="57">
        <f t="shared" si="75"/>
        <v>0</v>
      </c>
      <c r="AC325" s="53">
        <f t="shared" si="76"/>
        <v>0</v>
      </c>
    </row>
    <row r="326" spans="20:29" x14ac:dyDescent="0.25">
      <c r="T326" s="69" t="s">
        <v>82</v>
      </c>
      <c r="U326" s="76" t="s">
        <v>79</v>
      </c>
      <c r="V326" s="66" t="s">
        <v>76</v>
      </c>
      <c r="W326" s="60">
        <f t="shared" si="78"/>
        <v>0.33333333333333331</v>
      </c>
      <c r="X326" s="54">
        <v>0.28000000000000003</v>
      </c>
      <c r="Y326" s="80">
        <f t="shared" si="78"/>
        <v>0.04</v>
      </c>
      <c r="Z326" s="80">
        <f t="shared" si="78"/>
        <v>0.08</v>
      </c>
      <c r="AA326" s="79">
        <f t="shared" si="78"/>
        <v>0.9</v>
      </c>
      <c r="AB326" s="57">
        <f t="shared" si="75"/>
        <v>2.6880000000000003E-4</v>
      </c>
      <c r="AC326" s="53">
        <f t="shared" si="76"/>
        <v>2.6880000000000003E-4</v>
      </c>
    </row>
    <row r="327" spans="20:29" x14ac:dyDescent="0.25">
      <c r="T327" s="70" t="s">
        <v>82</v>
      </c>
      <c r="U327" s="78" t="s">
        <v>79</v>
      </c>
      <c r="V327" s="67" t="s">
        <v>77</v>
      </c>
      <c r="W327" s="60">
        <f t="shared" si="78"/>
        <v>0.33333333333333331</v>
      </c>
      <c r="X327" s="54">
        <v>0.28000000000000003</v>
      </c>
      <c r="Y327" s="80">
        <f t="shared" si="78"/>
        <v>0.04</v>
      </c>
      <c r="Z327" s="80">
        <f t="shared" si="78"/>
        <v>0.08</v>
      </c>
      <c r="AA327" s="80">
        <f t="shared" si="78"/>
        <v>0.1</v>
      </c>
      <c r="AB327" s="57">
        <f t="shared" si="75"/>
        <v>2.986666666666667E-5</v>
      </c>
      <c r="AC327" s="53">
        <f t="shared" si="76"/>
        <v>2.986666666666667E-5</v>
      </c>
    </row>
    <row r="329" spans="20:29" x14ac:dyDescent="0.25">
      <c r="W329" s="5" t="s">
        <v>26</v>
      </c>
      <c r="X329" s="47"/>
      <c r="Y329" s="47"/>
      <c r="Z329" s="47"/>
      <c r="AA329" s="8"/>
      <c r="AB329" s="47"/>
      <c r="AC329" s="48"/>
    </row>
    <row r="330" spans="20:29" x14ac:dyDescent="0.25">
      <c r="T330" s="45" t="s">
        <v>30</v>
      </c>
      <c r="U330" s="45"/>
      <c r="V330" s="45"/>
      <c r="W330" s="6"/>
      <c r="AA330" s="10"/>
      <c r="AC330" s="49"/>
    </row>
    <row r="331" spans="20:29" x14ac:dyDescent="0.25">
      <c r="T331" s="73" t="s">
        <v>83</v>
      </c>
      <c r="W331" s="15" t="s">
        <v>12</v>
      </c>
      <c r="X331" s="12" t="s">
        <v>32</v>
      </c>
      <c r="Y331" s="12" t="s">
        <v>33</v>
      </c>
      <c r="Z331" s="12" t="s">
        <v>34</v>
      </c>
      <c r="AA331" s="12" t="s">
        <v>35</v>
      </c>
      <c r="AB331" s="50"/>
      <c r="AC331" s="51"/>
    </row>
    <row r="332" spans="20:29" x14ac:dyDescent="0.25">
      <c r="W332" s="46" t="s">
        <v>36</v>
      </c>
      <c r="X332" s="46" t="s">
        <v>0</v>
      </c>
      <c r="Y332" s="46" t="s">
        <v>1</v>
      </c>
      <c r="Z332" s="46" t="s">
        <v>2</v>
      </c>
      <c r="AA332" s="46" t="s">
        <v>3</v>
      </c>
      <c r="AB332" s="52"/>
      <c r="AC332" s="52"/>
    </row>
    <row r="333" spans="20:29" x14ac:dyDescent="0.25">
      <c r="T333" s="61" t="s">
        <v>84</v>
      </c>
      <c r="U333" s="77" t="s">
        <v>38</v>
      </c>
      <c r="V333" s="62" t="s">
        <v>39</v>
      </c>
      <c r="W333" s="60">
        <f>$M$153</f>
        <v>0.33333333333333331</v>
      </c>
      <c r="X333" s="54">
        <f>$P$161</f>
        <v>0.02</v>
      </c>
      <c r="Y333" s="55">
        <f>$P$167</f>
        <v>0.42</v>
      </c>
      <c r="Z333" s="55">
        <f>$P$173</f>
        <v>0</v>
      </c>
      <c r="AA333" s="56">
        <f>P179</f>
        <v>0</v>
      </c>
      <c r="AB333" s="57">
        <f>PRODUCT(W333:AA333)</f>
        <v>0</v>
      </c>
      <c r="AC333" s="53">
        <f>AB333</f>
        <v>0</v>
      </c>
    </row>
    <row r="334" spans="20:29" x14ac:dyDescent="0.25">
      <c r="T334" s="61" t="s">
        <v>84</v>
      </c>
      <c r="U334" s="74" t="s">
        <v>38</v>
      </c>
      <c r="V334" s="64" t="s">
        <v>40</v>
      </c>
      <c r="W334" s="60">
        <f t="shared" ref="W334:W397" si="79">$M$153</f>
        <v>0.33333333333333331</v>
      </c>
      <c r="X334" s="54">
        <f t="shared" ref="X334:X359" si="80">$P$161</f>
        <v>0.02</v>
      </c>
      <c r="Y334" s="55">
        <f t="shared" ref="Y334:Y341" si="81">$P$167</f>
        <v>0.42</v>
      </c>
      <c r="Z334" s="55">
        <f t="shared" ref="Z334:Z335" si="82">$P$173</f>
        <v>0</v>
      </c>
      <c r="AA334" s="58">
        <f>Q179</f>
        <v>0.06</v>
      </c>
      <c r="AB334" s="57">
        <f t="shared" ref="AB334:AB359" si="83">PRODUCT(W334:AA334)</f>
        <v>0</v>
      </c>
      <c r="AC334" s="53">
        <f t="shared" ref="AC334:AC359" si="84">AB334</f>
        <v>0</v>
      </c>
    </row>
    <row r="335" spans="20:29" x14ac:dyDescent="0.25">
      <c r="T335" s="61" t="s">
        <v>84</v>
      </c>
      <c r="U335" s="74" t="s">
        <v>38</v>
      </c>
      <c r="V335" s="64" t="s">
        <v>45</v>
      </c>
      <c r="W335" s="60">
        <f t="shared" si="79"/>
        <v>0.33333333333333331</v>
      </c>
      <c r="X335" s="54">
        <f t="shared" si="80"/>
        <v>0.02</v>
      </c>
      <c r="Y335" s="55">
        <f t="shared" si="81"/>
        <v>0.42</v>
      </c>
      <c r="Z335" s="55">
        <f t="shared" si="82"/>
        <v>0</v>
      </c>
      <c r="AA335" s="59">
        <f>R179</f>
        <v>0.94</v>
      </c>
      <c r="AB335" s="57">
        <f t="shared" si="83"/>
        <v>0</v>
      </c>
      <c r="AC335" s="53">
        <f t="shared" si="84"/>
        <v>0</v>
      </c>
    </row>
    <row r="336" spans="20:29" x14ac:dyDescent="0.25">
      <c r="T336" s="61" t="s">
        <v>84</v>
      </c>
      <c r="U336" s="74" t="s">
        <v>38</v>
      </c>
      <c r="V336" s="64" t="s">
        <v>46</v>
      </c>
      <c r="W336" s="60">
        <f t="shared" si="79"/>
        <v>0.33333333333333331</v>
      </c>
      <c r="X336" s="54">
        <f t="shared" si="80"/>
        <v>0.02</v>
      </c>
      <c r="Y336" s="55">
        <f t="shared" si="81"/>
        <v>0.42</v>
      </c>
      <c r="Z336" s="58">
        <f>$Q$173</f>
        <v>0.06</v>
      </c>
      <c r="AA336" s="56">
        <f t="shared" ref="AA336:AA338" si="85">AA333</f>
        <v>0</v>
      </c>
      <c r="AB336" s="57">
        <f t="shared" si="83"/>
        <v>0</v>
      </c>
      <c r="AC336" s="53">
        <f t="shared" si="84"/>
        <v>0</v>
      </c>
    </row>
    <row r="337" spans="19:29" x14ac:dyDescent="0.25">
      <c r="T337" s="61" t="s">
        <v>84</v>
      </c>
      <c r="U337" s="74" t="s">
        <v>38</v>
      </c>
      <c r="V337" s="64" t="s">
        <v>47</v>
      </c>
      <c r="W337" s="60">
        <f t="shared" si="79"/>
        <v>0.33333333333333331</v>
      </c>
      <c r="X337" s="54">
        <f t="shared" si="80"/>
        <v>0.02</v>
      </c>
      <c r="Y337" s="55">
        <f t="shared" si="81"/>
        <v>0.42</v>
      </c>
      <c r="Z337" s="58">
        <f t="shared" ref="Z337:Z338" si="86">$Q$173</f>
        <v>0.06</v>
      </c>
      <c r="AA337" s="58">
        <f t="shared" si="85"/>
        <v>0.06</v>
      </c>
      <c r="AB337" s="57">
        <f t="shared" si="83"/>
        <v>1.0079999999999997E-5</v>
      </c>
      <c r="AC337" s="53">
        <f t="shared" si="84"/>
        <v>1.0079999999999997E-5</v>
      </c>
    </row>
    <row r="338" spans="19:29" x14ac:dyDescent="0.25">
      <c r="T338" s="61" t="s">
        <v>84</v>
      </c>
      <c r="U338" s="74" t="s">
        <v>38</v>
      </c>
      <c r="V338" s="64" t="s">
        <v>48</v>
      </c>
      <c r="W338" s="60">
        <f t="shared" si="79"/>
        <v>0.33333333333333331</v>
      </c>
      <c r="X338" s="54">
        <f t="shared" si="80"/>
        <v>0.02</v>
      </c>
      <c r="Y338" s="55">
        <f t="shared" si="81"/>
        <v>0.42</v>
      </c>
      <c r="Z338" s="58">
        <f t="shared" si="86"/>
        <v>0.06</v>
      </c>
      <c r="AA338" s="59">
        <f t="shared" si="85"/>
        <v>0.94</v>
      </c>
      <c r="AB338" s="57">
        <f t="shared" si="83"/>
        <v>1.5791999999999995E-4</v>
      </c>
      <c r="AC338" s="53">
        <f t="shared" si="84"/>
        <v>1.5791999999999995E-4</v>
      </c>
    </row>
    <row r="339" spans="19:29" x14ac:dyDescent="0.25">
      <c r="T339" s="61" t="s">
        <v>84</v>
      </c>
      <c r="U339" s="74" t="s">
        <v>38</v>
      </c>
      <c r="V339" s="64" t="s">
        <v>49</v>
      </c>
      <c r="W339" s="60">
        <f t="shared" si="79"/>
        <v>0.33333333333333331</v>
      </c>
      <c r="X339" s="54">
        <f t="shared" si="80"/>
        <v>0.02</v>
      </c>
      <c r="Y339" s="55">
        <f t="shared" si="81"/>
        <v>0.42</v>
      </c>
      <c r="Z339" s="59">
        <f>$R$173</f>
        <v>0.94</v>
      </c>
      <c r="AA339" s="56">
        <f t="shared" ref="AA339:AA341" si="87">AA333</f>
        <v>0</v>
      </c>
      <c r="AB339" s="57">
        <f t="shared" si="83"/>
        <v>0</v>
      </c>
      <c r="AC339" s="53">
        <f t="shared" si="84"/>
        <v>0</v>
      </c>
    </row>
    <row r="340" spans="19:29" x14ac:dyDescent="0.25">
      <c r="T340" s="61" t="s">
        <v>84</v>
      </c>
      <c r="U340" s="74" t="s">
        <v>38</v>
      </c>
      <c r="V340" s="64" t="s">
        <v>50</v>
      </c>
      <c r="W340" s="60">
        <f t="shared" si="79"/>
        <v>0.33333333333333331</v>
      </c>
      <c r="X340" s="54">
        <f t="shared" si="80"/>
        <v>0.02</v>
      </c>
      <c r="Y340" s="55">
        <f t="shared" si="81"/>
        <v>0.42</v>
      </c>
      <c r="Z340" s="59">
        <f t="shared" ref="Z340:Z341" si="88">$R$173</f>
        <v>0.94</v>
      </c>
      <c r="AA340" s="58">
        <f t="shared" si="87"/>
        <v>0.06</v>
      </c>
      <c r="AB340" s="57">
        <f t="shared" si="83"/>
        <v>1.5791999999999995E-4</v>
      </c>
      <c r="AC340" s="53">
        <f t="shared" si="84"/>
        <v>1.5791999999999995E-4</v>
      </c>
    </row>
    <row r="341" spans="19:29" x14ac:dyDescent="0.25">
      <c r="T341" s="61" t="s">
        <v>84</v>
      </c>
      <c r="U341" s="74" t="s">
        <v>38</v>
      </c>
      <c r="V341" s="64" t="s">
        <v>55</v>
      </c>
      <c r="W341" s="60">
        <f t="shared" si="79"/>
        <v>0.33333333333333331</v>
      </c>
      <c r="X341" s="54">
        <f t="shared" si="80"/>
        <v>0.02</v>
      </c>
      <c r="Y341" s="55">
        <f t="shared" si="81"/>
        <v>0.42</v>
      </c>
      <c r="Z341" s="59">
        <f t="shared" si="88"/>
        <v>0.94</v>
      </c>
      <c r="AA341" s="59">
        <f t="shared" si="87"/>
        <v>0.94</v>
      </c>
      <c r="AB341" s="57">
        <f t="shared" si="83"/>
        <v>2.4740799999999992E-3</v>
      </c>
      <c r="AC341" s="53">
        <f t="shared" si="84"/>
        <v>2.4740799999999992E-3</v>
      </c>
    </row>
    <row r="342" spans="19:29" x14ac:dyDescent="0.25">
      <c r="T342" s="72" t="s">
        <v>84</v>
      </c>
      <c r="U342" s="75" t="s">
        <v>38</v>
      </c>
      <c r="V342" s="65" t="s">
        <v>56</v>
      </c>
      <c r="W342" s="60">
        <f t="shared" si="79"/>
        <v>0.33333333333333331</v>
      </c>
      <c r="X342" s="54">
        <f t="shared" si="80"/>
        <v>0.02</v>
      </c>
      <c r="Y342" s="79">
        <f>$Q$167</f>
        <v>0.42</v>
      </c>
      <c r="Z342" s="55">
        <f t="shared" ref="Z342:Z350" si="89">Z333</f>
        <v>0</v>
      </c>
      <c r="AA342" s="56">
        <f t="shared" ref="AA342:AA344" si="90">AA333</f>
        <v>0</v>
      </c>
      <c r="AB342" s="57">
        <f t="shared" si="83"/>
        <v>0</v>
      </c>
      <c r="AC342" s="53">
        <f t="shared" si="84"/>
        <v>0</v>
      </c>
    </row>
    <row r="343" spans="19:29" x14ac:dyDescent="0.25">
      <c r="T343" s="72" t="s">
        <v>84</v>
      </c>
      <c r="U343" s="75" t="s">
        <v>38</v>
      </c>
      <c r="V343" s="65" t="s">
        <v>57</v>
      </c>
      <c r="W343" s="60">
        <f t="shared" si="79"/>
        <v>0.33333333333333331</v>
      </c>
      <c r="X343" s="54">
        <f t="shared" si="80"/>
        <v>0.02</v>
      </c>
      <c r="Y343" s="79">
        <f t="shared" ref="Y343:Y350" si="91">$Q$167</f>
        <v>0.42</v>
      </c>
      <c r="Z343" s="55">
        <f t="shared" si="89"/>
        <v>0</v>
      </c>
      <c r="AA343" s="58">
        <f t="shared" si="90"/>
        <v>0.06</v>
      </c>
      <c r="AB343" s="57">
        <f t="shared" si="83"/>
        <v>0</v>
      </c>
      <c r="AC343" s="53">
        <f t="shared" si="84"/>
        <v>0</v>
      </c>
    </row>
    <row r="344" spans="19:29" x14ac:dyDescent="0.25">
      <c r="T344" s="72" t="s">
        <v>84</v>
      </c>
      <c r="U344" s="75" t="s">
        <v>38</v>
      </c>
      <c r="V344" s="65" t="s">
        <v>58</v>
      </c>
      <c r="W344" s="60">
        <f t="shared" si="79"/>
        <v>0.33333333333333331</v>
      </c>
      <c r="X344" s="54">
        <f t="shared" si="80"/>
        <v>0.02</v>
      </c>
      <c r="Y344" s="79">
        <f t="shared" si="91"/>
        <v>0.42</v>
      </c>
      <c r="Z344" s="55">
        <f t="shared" si="89"/>
        <v>0</v>
      </c>
      <c r="AA344" s="59">
        <f t="shared" si="90"/>
        <v>0.94</v>
      </c>
      <c r="AB344" s="57">
        <f t="shared" si="83"/>
        <v>0</v>
      </c>
      <c r="AC344" s="53">
        <f t="shared" si="84"/>
        <v>0</v>
      </c>
    </row>
    <row r="345" spans="19:29" x14ac:dyDescent="0.25">
      <c r="T345" s="72" t="s">
        <v>84</v>
      </c>
      <c r="U345" s="75" t="s">
        <v>38</v>
      </c>
      <c r="V345" s="65" t="s">
        <v>59</v>
      </c>
      <c r="W345" s="60">
        <f t="shared" si="79"/>
        <v>0.33333333333333331</v>
      </c>
      <c r="X345" s="54">
        <f t="shared" si="80"/>
        <v>0.02</v>
      </c>
      <c r="Y345" s="79">
        <f t="shared" si="91"/>
        <v>0.42</v>
      </c>
      <c r="Z345" s="79">
        <f t="shared" si="89"/>
        <v>0.06</v>
      </c>
      <c r="AA345" s="56">
        <f t="shared" ref="AA345:AA347" si="92">AA333</f>
        <v>0</v>
      </c>
      <c r="AB345" s="57">
        <f t="shared" si="83"/>
        <v>0</v>
      </c>
      <c r="AC345" s="53">
        <f t="shared" si="84"/>
        <v>0</v>
      </c>
    </row>
    <row r="346" spans="19:29" x14ac:dyDescent="0.25">
      <c r="T346" s="72" t="s">
        <v>84</v>
      </c>
      <c r="U346" s="75" t="s">
        <v>38</v>
      </c>
      <c r="V346" s="65" t="s">
        <v>60</v>
      </c>
      <c r="W346" s="60">
        <f t="shared" si="79"/>
        <v>0.33333333333333331</v>
      </c>
      <c r="X346" s="54">
        <f t="shared" si="80"/>
        <v>0.02</v>
      </c>
      <c r="Y346" s="79">
        <f t="shared" si="91"/>
        <v>0.42</v>
      </c>
      <c r="Z346" s="79">
        <f t="shared" si="89"/>
        <v>0.06</v>
      </c>
      <c r="AA346" s="58">
        <f t="shared" si="92"/>
        <v>0.06</v>
      </c>
      <c r="AB346" s="57">
        <f t="shared" si="83"/>
        <v>1.0079999999999997E-5</v>
      </c>
      <c r="AC346" s="53">
        <f t="shared" si="84"/>
        <v>1.0079999999999997E-5</v>
      </c>
    </row>
    <row r="347" spans="19:29" x14ac:dyDescent="0.25">
      <c r="T347" s="72" t="s">
        <v>84</v>
      </c>
      <c r="U347" s="75" t="s">
        <v>38</v>
      </c>
      <c r="V347" s="65" t="s">
        <v>65</v>
      </c>
      <c r="W347" s="60">
        <f t="shared" si="79"/>
        <v>0.33333333333333331</v>
      </c>
      <c r="X347" s="54">
        <f t="shared" si="80"/>
        <v>0.02</v>
      </c>
      <c r="Y347" s="79">
        <f t="shared" si="91"/>
        <v>0.42</v>
      </c>
      <c r="Z347" s="79">
        <f t="shared" si="89"/>
        <v>0.06</v>
      </c>
      <c r="AA347" s="59">
        <f t="shared" si="92"/>
        <v>0.94</v>
      </c>
      <c r="AB347" s="57">
        <f t="shared" si="83"/>
        <v>1.5791999999999995E-4</v>
      </c>
      <c r="AC347" s="53">
        <f t="shared" si="84"/>
        <v>1.5791999999999995E-4</v>
      </c>
    </row>
    <row r="348" spans="19:29" x14ac:dyDescent="0.25">
      <c r="T348" s="72" t="s">
        <v>84</v>
      </c>
      <c r="U348" s="75" t="s">
        <v>38</v>
      </c>
      <c r="V348" s="65" t="s">
        <v>66</v>
      </c>
      <c r="W348" s="60">
        <f t="shared" si="79"/>
        <v>0.33333333333333331</v>
      </c>
      <c r="X348" s="54">
        <f t="shared" si="80"/>
        <v>0.02</v>
      </c>
      <c r="Y348" s="79">
        <f t="shared" si="91"/>
        <v>0.42</v>
      </c>
      <c r="Z348" s="80">
        <f t="shared" si="89"/>
        <v>0.94</v>
      </c>
      <c r="AA348" s="56">
        <f t="shared" ref="AA348:AA350" si="93">AA345</f>
        <v>0</v>
      </c>
      <c r="AB348" s="57">
        <f t="shared" si="83"/>
        <v>0</v>
      </c>
      <c r="AC348" s="53">
        <f t="shared" si="84"/>
        <v>0</v>
      </c>
    </row>
    <row r="349" spans="19:29" x14ac:dyDescent="0.25">
      <c r="T349" s="72" t="s">
        <v>84</v>
      </c>
      <c r="U349" s="75" t="s">
        <v>38</v>
      </c>
      <c r="V349" s="65" t="s">
        <v>67</v>
      </c>
      <c r="W349" s="60">
        <f t="shared" si="79"/>
        <v>0.33333333333333331</v>
      </c>
      <c r="X349" s="54">
        <f t="shared" si="80"/>
        <v>0.02</v>
      </c>
      <c r="Y349" s="79">
        <f t="shared" si="91"/>
        <v>0.42</v>
      </c>
      <c r="Z349" s="80">
        <f t="shared" si="89"/>
        <v>0.94</v>
      </c>
      <c r="AA349" s="58">
        <f t="shared" si="93"/>
        <v>0.06</v>
      </c>
      <c r="AB349" s="57">
        <f t="shared" si="83"/>
        <v>1.5791999999999995E-4</v>
      </c>
      <c r="AC349" s="53">
        <f t="shared" si="84"/>
        <v>1.5791999999999995E-4</v>
      </c>
    </row>
    <row r="350" spans="19:29" x14ac:dyDescent="0.25">
      <c r="T350" s="72" t="s">
        <v>84</v>
      </c>
      <c r="U350" s="75" t="s">
        <v>38</v>
      </c>
      <c r="V350" s="65" t="s">
        <v>68</v>
      </c>
      <c r="W350" s="60">
        <f t="shared" si="79"/>
        <v>0.33333333333333331</v>
      </c>
      <c r="X350" s="54">
        <f t="shared" si="80"/>
        <v>0.02</v>
      </c>
      <c r="Y350" s="79">
        <f t="shared" si="91"/>
        <v>0.42</v>
      </c>
      <c r="Z350" s="80">
        <f t="shared" si="89"/>
        <v>0.94</v>
      </c>
      <c r="AA350" s="59">
        <f t="shared" si="93"/>
        <v>0.94</v>
      </c>
      <c r="AB350" s="57">
        <f t="shared" si="83"/>
        <v>2.4740799999999992E-3</v>
      </c>
      <c r="AC350" s="53">
        <f t="shared" si="84"/>
        <v>2.4740799999999992E-3</v>
      </c>
    </row>
    <row r="351" spans="19:29" x14ac:dyDescent="0.25">
      <c r="S351" s="83"/>
      <c r="T351" s="71" t="s">
        <v>84</v>
      </c>
      <c r="U351" s="76" t="s">
        <v>38</v>
      </c>
      <c r="V351" s="66" t="s">
        <v>69</v>
      </c>
      <c r="W351" s="60">
        <f t="shared" si="79"/>
        <v>0.33333333333333331</v>
      </c>
      <c r="X351" s="54">
        <f t="shared" si="80"/>
        <v>0.02</v>
      </c>
      <c r="Y351" s="80">
        <f>$R$167</f>
        <v>0.16</v>
      </c>
      <c r="Z351" s="55">
        <f t="shared" ref="Z351:Z359" si="94">Z333</f>
        <v>0</v>
      </c>
      <c r="AA351" s="56">
        <f t="shared" ref="AA351:AA353" si="95">AA345</f>
        <v>0</v>
      </c>
      <c r="AB351" s="57">
        <f t="shared" si="83"/>
        <v>0</v>
      </c>
      <c r="AC351" s="53">
        <f t="shared" si="84"/>
        <v>0</v>
      </c>
    </row>
    <row r="352" spans="19:29" x14ac:dyDescent="0.25">
      <c r="T352" s="71" t="s">
        <v>84</v>
      </c>
      <c r="U352" s="76" t="s">
        <v>38</v>
      </c>
      <c r="V352" s="66" t="s">
        <v>70</v>
      </c>
      <c r="W352" s="60">
        <f t="shared" si="79"/>
        <v>0.33333333333333331</v>
      </c>
      <c r="X352" s="54">
        <f t="shared" si="80"/>
        <v>0.02</v>
      </c>
      <c r="Y352" s="80">
        <f t="shared" ref="Y352:Y359" si="96">$R$167</f>
        <v>0.16</v>
      </c>
      <c r="Z352" s="55">
        <f t="shared" si="94"/>
        <v>0</v>
      </c>
      <c r="AA352" s="58">
        <f t="shared" si="95"/>
        <v>0.06</v>
      </c>
      <c r="AB352" s="57">
        <f t="shared" si="83"/>
        <v>0</v>
      </c>
      <c r="AC352" s="53">
        <f t="shared" si="84"/>
        <v>0</v>
      </c>
    </row>
    <row r="353" spans="20:29" x14ac:dyDescent="0.25">
      <c r="T353" s="71" t="s">
        <v>84</v>
      </c>
      <c r="U353" s="76" t="s">
        <v>38</v>
      </c>
      <c r="V353" s="66" t="s">
        <v>71</v>
      </c>
      <c r="W353" s="60">
        <f t="shared" si="79"/>
        <v>0.33333333333333331</v>
      </c>
      <c r="X353" s="54">
        <f t="shared" si="80"/>
        <v>0.02</v>
      </c>
      <c r="Y353" s="80">
        <f t="shared" si="96"/>
        <v>0.16</v>
      </c>
      <c r="Z353" s="55">
        <f t="shared" si="94"/>
        <v>0</v>
      </c>
      <c r="AA353" s="59">
        <f t="shared" si="95"/>
        <v>0.94</v>
      </c>
      <c r="AB353" s="57">
        <f t="shared" si="83"/>
        <v>0</v>
      </c>
      <c r="AC353" s="53">
        <f t="shared" si="84"/>
        <v>0</v>
      </c>
    </row>
    <row r="354" spans="20:29" x14ac:dyDescent="0.25">
      <c r="T354" s="71" t="s">
        <v>84</v>
      </c>
      <c r="U354" s="76" t="s">
        <v>38</v>
      </c>
      <c r="V354" s="66" t="s">
        <v>72</v>
      </c>
      <c r="W354" s="60">
        <f t="shared" si="79"/>
        <v>0.33333333333333331</v>
      </c>
      <c r="X354" s="54">
        <f t="shared" si="80"/>
        <v>0.02</v>
      </c>
      <c r="Y354" s="80">
        <f t="shared" si="96"/>
        <v>0.16</v>
      </c>
      <c r="Z354" s="79">
        <f t="shared" si="94"/>
        <v>0.06</v>
      </c>
      <c r="AA354" s="56">
        <f t="shared" ref="AA354:AA356" si="97">AA345</f>
        <v>0</v>
      </c>
      <c r="AB354" s="57">
        <f t="shared" si="83"/>
        <v>0</v>
      </c>
      <c r="AC354" s="53">
        <f t="shared" si="84"/>
        <v>0</v>
      </c>
    </row>
    <row r="355" spans="20:29" x14ac:dyDescent="0.25">
      <c r="T355" s="71" t="s">
        <v>84</v>
      </c>
      <c r="U355" s="76" t="s">
        <v>38</v>
      </c>
      <c r="V355" s="66" t="s">
        <v>73</v>
      </c>
      <c r="W355" s="60">
        <f t="shared" si="79"/>
        <v>0.33333333333333331</v>
      </c>
      <c r="X355" s="54">
        <f t="shared" si="80"/>
        <v>0.02</v>
      </c>
      <c r="Y355" s="80">
        <f t="shared" si="96"/>
        <v>0.16</v>
      </c>
      <c r="Z355" s="79">
        <f t="shared" si="94"/>
        <v>0.06</v>
      </c>
      <c r="AA355" s="58">
        <f t="shared" si="97"/>
        <v>0.06</v>
      </c>
      <c r="AB355" s="57">
        <f t="shared" si="83"/>
        <v>3.8399999999999997E-6</v>
      </c>
      <c r="AC355" s="53">
        <f t="shared" si="84"/>
        <v>3.8399999999999997E-6</v>
      </c>
    </row>
    <row r="356" spans="20:29" x14ac:dyDescent="0.25">
      <c r="T356" s="71" t="s">
        <v>84</v>
      </c>
      <c r="U356" s="76" t="s">
        <v>38</v>
      </c>
      <c r="V356" s="66" t="s">
        <v>74</v>
      </c>
      <c r="W356" s="60">
        <f t="shared" si="79"/>
        <v>0.33333333333333331</v>
      </c>
      <c r="X356" s="54">
        <f t="shared" si="80"/>
        <v>0.02</v>
      </c>
      <c r="Y356" s="80">
        <f t="shared" si="96"/>
        <v>0.16</v>
      </c>
      <c r="Z356" s="79">
        <f t="shared" si="94"/>
        <v>0.06</v>
      </c>
      <c r="AA356" s="59">
        <f t="shared" si="97"/>
        <v>0.94</v>
      </c>
      <c r="AB356" s="57">
        <f t="shared" si="83"/>
        <v>6.0159999999999993E-5</v>
      </c>
      <c r="AC356" s="53">
        <f t="shared" si="84"/>
        <v>6.0159999999999993E-5</v>
      </c>
    </row>
    <row r="357" spans="20:29" x14ac:dyDescent="0.25">
      <c r="T357" s="71" t="s">
        <v>84</v>
      </c>
      <c r="U357" s="76" t="s">
        <v>38</v>
      </c>
      <c r="V357" s="66" t="s">
        <v>75</v>
      </c>
      <c r="W357" s="60">
        <f t="shared" si="79"/>
        <v>0.33333333333333331</v>
      </c>
      <c r="X357" s="54">
        <f t="shared" si="80"/>
        <v>0.02</v>
      </c>
      <c r="Y357" s="80">
        <f t="shared" si="96"/>
        <v>0.16</v>
      </c>
      <c r="Z357" s="80">
        <f t="shared" si="94"/>
        <v>0.94</v>
      </c>
      <c r="AA357" s="56">
        <f t="shared" ref="AA357:AA359" si="98">AA345</f>
        <v>0</v>
      </c>
      <c r="AB357" s="57">
        <f t="shared" si="83"/>
        <v>0</v>
      </c>
      <c r="AC357" s="53">
        <f t="shared" si="84"/>
        <v>0</v>
      </c>
    </row>
    <row r="358" spans="20:29" x14ac:dyDescent="0.25">
      <c r="T358" s="71" t="s">
        <v>84</v>
      </c>
      <c r="U358" s="76" t="s">
        <v>38</v>
      </c>
      <c r="V358" s="66" t="s">
        <v>76</v>
      </c>
      <c r="W358" s="60">
        <f t="shared" si="79"/>
        <v>0.33333333333333331</v>
      </c>
      <c r="X358" s="54">
        <f t="shared" si="80"/>
        <v>0.02</v>
      </c>
      <c r="Y358" s="80">
        <f t="shared" si="96"/>
        <v>0.16</v>
      </c>
      <c r="Z358" s="80">
        <f t="shared" si="94"/>
        <v>0.94</v>
      </c>
      <c r="AA358" s="58">
        <f t="shared" si="98"/>
        <v>0.06</v>
      </c>
      <c r="AB358" s="57">
        <f t="shared" si="83"/>
        <v>6.016E-5</v>
      </c>
      <c r="AC358" s="53">
        <f t="shared" si="84"/>
        <v>6.016E-5</v>
      </c>
    </row>
    <row r="359" spans="20:29" x14ac:dyDescent="0.25">
      <c r="T359" s="71" t="s">
        <v>84</v>
      </c>
      <c r="U359" s="78" t="s">
        <v>38</v>
      </c>
      <c r="V359" s="67" t="s">
        <v>77</v>
      </c>
      <c r="W359" s="60">
        <f t="shared" si="79"/>
        <v>0.33333333333333331</v>
      </c>
      <c r="X359" s="54">
        <f t="shared" si="80"/>
        <v>0.02</v>
      </c>
      <c r="Y359" s="80">
        <f t="shared" si="96"/>
        <v>0.16</v>
      </c>
      <c r="Z359" s="80">
        <f t="shared" si="94"/>
        <v>0.94</v>
      </c>
      <c r="AA359" s="59">
        <f t="shared" si="98"/>
        <v>0.94</v>
      </c>
      <c r="AB359" s="57">
        <f t="shared" si="83"/>
        <v>9.4250666666666661E-4</v>
      </c>
      <c r="AC359" s="53">
        <f t="shared" si="84"/>
        <v>9.4250666666666661E-4</v>
      </c>
    </row>
    <row r="360" spans="20:29" x14ac:dyDescent="0.25">
      <c r="T360" s="61" t="s">
        <v>84</v>
      </c>
      <c r="U360" s="77" t="s">
        <v>78</v>
      </c>
      <c r="V360" s="62" t="s">
        <v>39</v>
      </c>
      <c r="W360" s="60">
        <f>$M$153</f>
        <v>0.33333333333333331</v>
      </c>
      <c r="X360" s="54">
        <f>$Q$161</f>
        <v>0.24</v>
      </c>
      <c r="Y360" s="55">
        <f t="shared" ref="Y360:Y386" si="99">Y333</f>
        <v>0.42</v>
      </c>
      <c r="Z360" s="55">
        <f t="shared" ref="Z360:AA386" si="100">Z333</f>
        <v>0</v>
      </c>
      <c r="AA360" s="55">
        <f t="shared" si="100"/>
        <v>0</v>
      </c>
      <c r="AB360" s="57">
        <f>PRODUCT(W360:AA360)</f>
        <v>0</v>
      </c>
      <c r="AC360" s="53">
        <f>AB360</f>
        <v>0</v>
      </c>
    </row>
    <row r="361" spans="20:29" x14ac:dyDescent="0.25">
      <c r="T361" s="61" t="s">
        <v>84</v>
      </c>
      <c r="U361" s="77" t="s">
        <v>78</v>
      </c>
      <c r="V361" s="64" t="s">
        <v>40</v>
      </c>
      <c r="W361" s="60">
        <f t="shared" si="79"/>
        <v>0.33333333333333331</v>
      </c>
      <c r="X361" s="54">
        <f t="shared" ref="X361:X386" si="101">$Q$161</f>
        <v>0.24</v>
      </c>
      <c r="Y361" s="55">
        <f t="shared" si="99"/>
        <v>0.42</v>
      </c>
      <c r="Z361" s="55">
        <f t="shared" si="100"/>
        <v>0</v>
      </c>
      <c r="AA361" s="79">
        <f t="shared" si="100"/>
        <v>0.06</v>
      </c>
      <c r="AB361" s="57">
        <f t="shared" ref="AB361:AB386" si="102">PRODUCT(W361:AA361)</f>
        <v>0</v>
      </c>
      <c r="AC361" s="53">
        <f t="shared" ref="AC361:AC386" si="103">AB361</f>
        <v>0</v>
      </c>
    </row>
    <row r="362" spans="20:29" x14ac:dyDescent="0.25">
      <c r="T362" s="61" t="s">
        <v>84</v>
      </c>
      <c r="U362" s="77" t="s">
        <v>78</v>
      </c>
      <c r="V362" s="64" t="s">
        <v>45</v>
      </c>
      <c r="W362" s="60">
        <f t="shared" si="79"/>
        <v>0.33333333333333331</v>
      </c>
      <c r="X362" s="54">
        <f t="shared" si="101"/>
        <v>0.24</v>
      </c>
      <c r="Y362" s="55">
        <f t="shared" si="99"/>
        <v>0.42</v>
      </c>
      <c r="Z362" s="55">
        <f t="shared" si="100"/>
        <v>0</v>
      </c>
      <c r="AA362" s="80">
        <f t="shared" si="100"/>
        <v>0.94</v>
      </c>
      <c r="AB362" s="57">
        <f t="shared" si="102"/>
        <v>0</v>
      </c>
      <c r="AC362" s="53">
        <f t="shared" si="103"/>
        <v>0</v>
      </c>
    </row>
    <row r="363" spans="20:29" x14ac:dyDescent="0.25">
      <c r="T363" s="61" t="s">
        <v>84</v>
      </c>
      <c r="U363" s="77" t="s">
        <v>78</v>
      </c>
      <c r="V363" s="64" t="s">
        <v>46</v>
      </c>
      <c r="W363" s="60">
        <f t="shared" si="79"/>
        <v>0.33333333333333331</v>
      </c>
      <c r="X363" s="54">
        <f t="shared" si="101"/>
        <v>0.24</v>
      </c>
      <c r="Y363" s="55">
        <f t="shared" si="99"/>
        <v>0.42</v>
      </c>
      <c r="Z363" s="79">
        <f t="shared" si="100"/>
        <v>0.06</v>
      </c>
      <c r="AA363" s="55">
        <f t="shared" si="100"/>
        <v>0</v>
      </c>
      <c r="AB363" s="57">
        <f t="shared" si="102"/>
        <v>0</v>
      </c>
      <c r="AC363" s="53">
        <f t="shared" si="103"/>
        <v>0</v>
      </c>
    </row>
    <row r="364" spans="20:29" x14ac:dyDescent="0.25">
      <c r="T364" s="61" t="s">
        <v>84</v>
      </c>
      <c r="U364" s="77" t="s">
        <v>78</v>
      </c>
      <c r="V364" s="64" t="s">
        <v>47</v>
      </c>
      <c r="W364" s="60">
        <f t="shared" si="79"/>
        <v>0.33333333333333331</v>
      </c>
      <c r="X364" s="54">
        <f t="shared" si="101"/>
        <v>0.24</v>
      </c>
      <c r="Y364" s="55">
        <f t="shared" si="99"/>
        <v>0.42</v>
      </c>
      <c r="Z364" s="79">
        <f t="shared" si="100"/>
        <v>0.06</v>
      </c>
      <c r="AA364" s="79">
        <f t="shared" si="100"/>
        <v>0.06</v>
      </c>
      <c r="AB364" s="57">
        <f t="shared" si="102"/>
        <v>1.2095999999999997E-4</v>
      </c>
      <c r="AC364" s="53">
        <f t="shared" si="103"/>
        <v>1.2095999999999997E-4</v>
      </c>
    </row>
    <row r="365" spans="20:29" x14ac:dyDescent="0.25">
      <c r="T365" s="61" t="s">
        <v>84</v>
      </c>
      <c r="U365" s="77" t="s">
        <v>78</v>
      </c>
      <c r="V365" s="64" t="s">
        <v>48</v>
      </c>
      <c r="W365" s="60">
        <f t="shared" si="79"/>
        <v>0.33333333333333331</v>
      </c>
      <c r="X365" s="54">
        <f t="shared" si="101"/>
        <v>0.24</v>
      </c>
      <c r="Y365" s="55">
        <f t="shared" si="99"/>
        <v>0.42</v>
      </c>
      <c r="Z365" s="79">
        <f t="shared" si="100"/>
        <v>0.06</v>
      </c>
      <c r="AA365" s="80">
        <f t="shared" si="100"/>
        <v>0.94</v>
      </c>
      <c r="AB365" s="57">
        <f t="shared" si="102"/>
        <v>1.8950399999999995E-3</v>
      </c>
      <c r="AC365" s="53">
        <f t="shared" si="103"/>
        <v>1.8950399999999995E-3</v>
      </c>
    </row>
    <row r="366" spans="20:29" x14ac:dyDescent="0.25">
      <c r="T366" s="61" t="s">
        <v>84</v>
      </c>
      <c r="U366" s="77" t="s">
        <v>78</v>
      </c>
      <c r="V366" s="64" t="s">
        <v>49</v>
      </c>
      <c r="W366" s="60">
        <f t="shared" si="79"/>
        <v>0.33333333333333331</v>
      </c>
      <c r="X366" s="54">
        <f t="shared" si="101"/>
        <v>0.24</v>
      </c>
      <c r="Y366" s="55">
        <f t="shared" si="99"/>
        <v>0.42</v>
      </c>
      <c r="Z366" s="80">
        <f t="shared" si="100"/>
        <v>0.94</v>
      </c>
      <c r="AA366" s="55">
        <f t="shared" si="100"/>
        <v>0</v>
      </c>
      <c r="AB366" s="57">
        <f t="shared" si="102"/>
        <v>0</v>
      </c>
      <c r="AC366" s="53">
        <f t="shared" si="103"/>
        <v>0</v>
      </c>
    </row>
    <row r="367" spans="20:29" x14ac:dyDescent="0.25">
      <c r="T367" s="61" t="s">
        <v>84</v>
      </c>
      <c r="U367" s="77" t="s">
        <v>78</v>
      </c>
      <c r="V367" s="64" t="s">
        <v>50</v>
      </c>
      <c r="W367" s="60">
        <f t="shared" si="79"/>
        <v>0.33333333333333331</v>
      </c>
      <c r="X367" s="54">
        <f t="shared" si="101"/>
        <v>0.24</v>
      </c>
      <c r="Y367" s="55">
        <f t="shared" si="99"/>
        <v>0.42</v>
      </c>
      <c r="Z367" s="80">
        <f t="shared" si="100"/>
        <v>0.94</v>
      </c>
      <c r="AA367" s="79">
        <f t="shared" si="100"/>
        <v>0.06</v>
      </c>
      <c r="AB367" s="57">
        <f t="shared" si="102"/>
        <v>1.8950399999999991E-3</v>
      </c>
      <c r="AC367" s="53">
        <f t="shared" si="103"/>
        <v>1.8950399999999991E-3</v>
      </c>
    </row>
    <row r="368" spans="20:29" x14ac:dyDescent="0.25">
      <c r="T368" s="61" t="s">
        <v>84</v>
      </c>
      <c r="U368" s="77" t="s">
        <v>78</v>
      </c>
      <c r="V368" s="64" t="s">
        <v>55</v>
      </c>
      <c r="W368" s="60">
        <f t="shared" si="79"/>
        <v>0.33333333333333331</v>
      </c>
      <c r="X368" s="54">
        <f t="shared" si="101"/>
        <v>0.24</v>
      </c>
      <c r="Y368" s="55">
        <f t="shared" si="99"/>
        <v>0.42</v>
      </c>
      <c r="Z368" s="80">
        <f t="shared" si="100"/>
        <v>0.94</v>
      </c>
      <c r="AA368" s="80">
        <f t="shared" si="100"/>
        <v>0.94</v>
      </c>
      <c r="AB368" s="57">
        <f t="shared" si="102"/>
        <v>2.9688959999999986E-2</v>
      </c>
      <c r="AC368" s="53">
        <f t="shared" si="103"/>
        <v>2.9688959999999986E-2</v>
      </c>
    </row>
    <row r="369" spans="20:29" x14ac:dyDescent="0.25">
      <c r="T369" s="72" t="s">
        <v>84</v>
      </c>
      <c r="U369" s="75" t="s">
        <v>78</v>
      </c>
      <c r="V369" s="65" t="s">
        <v>56</v>
      </c>
      <c r="W369" s="60">
        <f t="shared" si="79"/>
        <v>0.33333333333333331</v>
      </c>
      <c r="X369" s="54">
        <f t="shared" si="101"/>
        <v>0.24</v>
      </c>
      <c r="Y369" s="79">
        <f t="shared" si="99"/>
        <v>0.42</v>
      </c>
      <c r="Z369" s="55">
        <f t="shared" si="100"/>
        <v>0</v>
      </c>
      <c r="AA369" s="55">
        <f t="shared" si="100"/>
        <v>0</v>
      </c>
      <c r="AB369" s="57">
        <f t="shared" si="102"/>
        <v>0</v>
      </c>
      <c r="AC369" s="53">
        <f t="shared" si="103"/>
        <v>0</v>
      </c>
    </row>
    <row r="370" spans="20:29" x14ac:dyDescent="0.25">
      <c r="T370" s="72" t="s">
        <v>84</v>
      </c>
      <c r="U370" s="75" t="s">
        <v>78</v>
      </c>
      <c r="V370" s="65" t="s">
        <v>57</v>
      </c>
      <c r="W370" s="60">
        <f t="shared" si="79"/>
        <v>0.33333333333333331</v>
      </c>
      <c r="X370" s="54">
        <f t="shared" si="101"/>
        <v>0.24</v>
      </c>
      <c r="Y370" s="79">
        <f t="shared" si="99"/>
        <v>0.42</v>
      </c>
      <c r="Z370" s="55">
        <f t="shared" si="100"/>
        <v>0</v>
      </c>
      <c r="AA370" s="79">
        <f t="shared" si="100"/>
        <v>0.06</v>
      </c>
      <c r="AB370" s="57">
        <f t="shared" si="102"/>
        <v>0</v>
      </c>
      <c r="AC370" s="53">
        <f t="shared" si="103"/>
        <v>0</v>
      </c>
    </row>
    <row r="371" spans="20:29" x14ac:dyDescent="0.25">
      <c r="T371" s="72" t="s">
        <v>84</v>
      </c>
      <c r="U371" s="75" t="s">
        <v>78</v>
      </c>
      <c r="V371" s="65" t="s">
        <v>58</v>
      </c>
      <c r="W371" s="60">
        <f t="shared" si="79"/>
        <v>0.33333333333333331</v>
      </c>
      <c r="X371" s="54">
        <f t="shared" si="101"/>
        <v>0.24</v>
      </c>
      <c r="Y371" s="79">
        <f t="shared" si="99"/>
        <v>0.42</v>
      </c>
      <c r="Z371" s="55">
        <f t="shared" si="100"/>
        <v>0</v>
      </c>
      <c r="AA371" s="80">
        <f t="shared" si="100"/>
        <v>0.94</v>
      </c>
      <c r="AB371" s="57">
        <f t="shared" si="102"/>
        <v>0</v>
      </c>
      <c r="AC371" s="53">
        <f t="shared" si="103"/>
        <v>0</v>
      </c>
    </row>
    <row r="372" spans="20:29" x14ac:dyDescent="0.25">
      <c r="T372" s="72" t="s">
        <v>84</v>
      </c>
      <c r="U372" s="75" t="s">
        <v>78</v>
      </c>
      <c r="V372" s="65" t="s">
        <v>59</v>
      </c>
      <c r="W372" s="60">
        <f t="shared" si="79"/>
        <v>0.33333333333333331</v>
      </c>
      <c r="X372" s="54">
        <f t="shared" si="101"/>
        <v>0.24</v>
      </c>
      <c r="Y372" s="79">
        <f t="shared" si="99"/>
        <v>0.42</v>
      </c>
      <c r="Z372" s="79">
        <f t="shared" si="100"/>
        <v>0.06</v>
      </c>
      <c r="AA372" s="55">
        <f t="shared" si="100"/>
        <v>0</v>
      </c>
      <c r="AB372" s="57">
        <f t="shared" si="102"/>
        <v>0</v>
      </c>
      <c r="AC372" s="53">
        <f t="shared" si="103"/>
        <v>0</v>
      </c>
    </row>
    <row r="373" spans="20:29" x14ac:dyDescent="0.25">
      <c r="T373" s="72" t="s">
        <v>84</v>
      </c>
      <c r="U373" s="75" t="s">
        <v>78</v>
      </c>
      <c r="V373" s="65" t="s">
        <v>60</v>
      </c>
      <c r="W373" s="60">
        <f t="shared" si="79"/>
        <v>0.33333333333333331</v>
      </c>
      <c r="X373" s="54">
        <f t="shared" si="101"/>
        <v>0.24</v>
      </c>
      <c r="Y373" s="79">
        <f t="shared" si="99"/>
        <v>0.42</v>
      </c>
      <c r="Z373" s="79">
        <f t="shared" si="100"/>
        <v>0.06</v>
      </c>
      <c r="AA373" s="79">
        <f t="shared" si="100"/>
        <v>0.06</v>
      </c>
      <c r="AB373" s="57">
        <f t="shared" si="102"/>
        <v>1.2095999999999997E-4</v>
      </c>
      <c r="AC373" s="53">
        <f t="shared" si="103"/>
        <v>1.2095999999999997E-4</v>
      </c>
    </row>
    <row r="374" spans="20:29" x14ac:dyDescent="0.25">
      <c r="T374" s="72" t="s">
        <v>84</v>
      </c>
      <c r="U374" s="75" t="s">
        <v>78</v>
      </c>
      <c r="V374" s="65" t="s">
        <v>65</v>
      </c>
      <c r="W374" s="60">
        <f t="shared" si="79"/>
        <v>0.33333333333333331</v>
      </c>
      <c r="X374" s="54">
        <f t="shared" si="101"/>
        <v>0.24</v>
      </c>
      <c r="Y374" s="79">
        <f t="shared" si="99"/>
        <v>0.42</v>
      </c>
      <c r="Z374" s="79">
        <f t="shared" si="100"/>
        <v>0.06</v>
      </c>
      <c r="AA374" s="80">
        <f t="shared" si="100"/>
        <v>0.94</v>
      </c>
      <c r="AB374" s="57">
        <f t="shared" si="102"/>
        <v>1.8950399999999995E-3</v>
      </c>
      <c r="AC374" s="53">
        <f t="shared" si="103"/>
        <v>1.8950399999999995E-3</v>
      </c>
    </row>
    <row r="375" spans="20:29" x14ac:dyDescent="0.25">
      <c r="T375" s="72" t="s">
        <v>84</v>
      </c>
      <c r="U375" s="75" t="s">
        <v>78</v>
      </c>
      <c r="V375" s="65" t="s">
        <v>66</v>
      </c>
      <c r="W375" s="60">
        <f t="shared" si="79"/>
        <v>0.33333333333333331</v>
      </c>
      <c r="X375" s="54">
        <f t="shared" si="101"/>
        <v>0.24</v>
      </c>
      <c r="Y375" s="79">
        <f t="shared" si="99"/>
        <v>0.42</v>
      </c>
      <c r="Z375" s="80">
        <f t="shared" si="100"/>
        <v>0.94</v>
      </c>
      <c r="AA375" s="55">
        <f t="shared" si="100"/>
        <v>0</v>
      </c>
      <c r="AB375" s="57">
        <f t="shared" si="102"/>
        <v>0</v>
      </c>
      <c r="AC375" s="53">
        <f t="shared" si="103"/>
        <v>0</v>
      </c>
    </row>
    <row r="376" spans="20:29" x14ac:dyDescent="0.25">
      <c r="T376" s="72" t="s">
        <v>84</v>
      </c>
      <c r="U376" s="75" t="s">
        <v>78</v>
      </c>
      <c r="V376" s="65" t="s">
        <v>67</v>
      </c>
      <c r="W376" s="60">
        <f t="shared" si="79"/>
        <v>0.33333333333333331</v>
      </c>
      <c r="X376" s="54">
        <f t="shared" si="101"/>
        <v>0.24</v>
      </c>
      <c r="Y376" s="79">
        <f t="shared" si="99"/>
        <v>0.42</v>
      </c>
      <c r="Z376" s="80">
        <f t="shared" si="100"/>
        <v>0.94</v>
      </c>
      <c r="AA376" s="79">
        <f t="shared" si="100"/>
        <v>0.06</v>
      </c>
      <c r="AB376" s="57">
        <f t="shared" si="102"/>
        <v>1.8950399999999991E-3</v>
      </c>
      <c r="AC376" s="53">
        <f t="shared" si="103"/>
        <v>1.8950399999999991E-3</v>
      </c>
    </row>
    <row r="377" spans="20:29" x14ac:dyDescent="0.25">
      <c r="T377" s="72" t="s">
        <v>84</v>
      </c>
      <c r="U377" s="75" t="s">
        <v>78</v>
      </c>
      <c r="V377" s="65" t="s">
        <v>68</v>
      </c>
      <c r="W377" s="60">
        <f t="shared" si="79"/>
        <v>0.33333333333333331</v>
      </c>
      <c r="X377" s="54">
        <f t="shared" si="101"/>
        <v>0.24</v>
      </c>
      <c r="Y377" s="79">
        <f t="shared" si="99"/>
        <v>0.42</v>
      </c>
      <c r="Z377" s="80">
        <f t="shared" si="100"/>
        <v>0.94</v>
      </c>
      <c r="AA377" s="80">
        <f t="shared" si="100"/>
        <v>0.94</v>
      </c>
      <c r="AB377" s="57">
        <f t="shared" si="102"/>
        <v>2.9688959999999986E-2</v>
      </c>
      <c r="AC377" s="53">
        <f t="shared" si="103"/>
        <v>2.9688959999999986E-2</v>
      </c>
    </row>
    <row r="378" spans="20:29" x14ac:dyDescent="0.25">
      <c r="T378" s="71" t="s">
        <v>84</v>
      </c>
      <c r="U378" s="76" t="s">
        <v>78</v>
      </c>
      <c r="V378" s="66" t="s">
        <v>69</v>
      </c>
      <c r="W378" s="60">
        <f t="shared" si="79"/>
        <v>0.33333333333333331</v>
      </c>
      <c r="X378" s="54">
        <f t="shared" si="101"/>
        <v>0.24</v>
      </c>
      <c r="Y378" s="80">
        <f t="shared" si="99"/>
        <v>0.16</v>
      </c>
      <c r="Z378" s="55">
        <f t="shared" si="100"/>
        <v>0</v>
      </c>
      <c r="AA378" s="55">
        <f t="shared" si="100"/>
        <v>0</v>
      </c>
      <c r="AB378" s="57">
        <f t="shared" si="102"/>
        <v>0</v>
      </c>
      <c r="AC378" s="53">
        <f t="shared" si="103"/>
        <v>0</v>
      </c>
    </row>
    <row r="379" spans="20:29" x14ac:dyDescent="0.25">
      <c r="T379" s="71" t="s">
        <v>84</v>
      </c>
      <c r="U379" s="76" t="s">
        <v>78</v>
      </c>
      <c r="V379" s="66" t="s">
        <v>70</v>
      </c>
      <c r="W379" s="60">
        <f t="shared" si="79"/>
        <v>0.33333333333333331</v>
      </c>
      <c r="X379" s="54">
        <f t="shared" si="101"/>
        <v>0.24</v>
      </c>
      <c r="Y379" s="80">
        <f t="shared" si="99"/>
        <v>0.16</v>
      </c>
      <c r="Z379" s="55">
        <f t="shared" si="100"/>
        <v>0</v>
      </c>
      <c r="AA379" s="79">
        <f t="shared" si="100"/>
        <v>0.06</v>
      </c>
      <c r="AB379" s="57">
        <f t="shared" si="102"/>
        <v>0</v>
      </c>
      <c r="AC379" s="53">
        <f t="shared" si="103"/>
        <v>0</v>
      </c>
    </row>
    <row r="380" spans="20:29" x14ac:dyDescent="0.25">
      <c r="T380" s="71" t="s">
        <v>84</v>
      </c>
      <c r="U380" s="76" t="s">
        <v>78</v>
      </c>
      <c r="V380" s="66" t="s">
        <v>71</v>
      </c>
      <c r="W380" s="60">
        <f t="shared" si="79"/>
        <v>0.33333333333333331</v>
      </c>
      <c r="X380" s="54">
        <f t="shared" si="101"/>
        <v>0.24</v>
      </c>
      <c r="Y380" s="80">
        <f t="shared" si="99"/>
        <v>0.16</v>
      </c>
      <c r="Z380" s="55">
        <f t="shared" si="100"/>
        <v>0</v>
      </c>
      <c r="AA380" s="80">
        <f t="shared" si="100"/>
        <v>0.94</v>
      </c>
      <c r="AB380" s="57">
        <f t="shared" si="102"/>
        <v>0</v>
      </c>
      <c r="AC380" s="53">
        <f t="shared" si="103"/>
        <v>0</v>
      </c>
    </row>
    <row r="381" spans="20:29" x14ac:dyDescent="0.25">
      <c r="T381" s="71" t="s">
        <v>84</v>
      </c>
      <c r="U381" s="76" t="s">
        <v>78</v>
      </c>
      <c r="V381" s="66" t="s">
        <v>72</v>
      </c>
      <c r="W381" s="60">
        <f t="shared" si="79"/>
        <v>0.33333333333333331</v>
      </c>
      <c r="X381" s="54">
        <f t="shared" si="101"/>
        <v>0.24</v>
      </c>
      <c r="Y381" s="80">
        <f t="shared" si="99"/>
        <v>0.16</v>
      </c>
      <c r="Z381" s="79">
        <f t="shared" si="100"/>
        <v>0.06</v>
      </c>
      <c r="AA381" s="55">
        <f t="shared" si="100"/>
        <v>0</v>
      </c>
      <c r="AB381" s="57">
        <f t="shared" si="102"/>
        <v>0</v>
      </c>
      <c r="AC381" s="53">
        <f t="shared" si="103"/>
        <v>0</v>
      </c>
    </row>
    <row r="382" spans="20:29" x14ac:dyDescent="0.25">
      <c r="T382" s="71" t="s">
        <v>84</v>
      </c>
      <c r="U382" s="76" t="s">
        <v>78</v>
      </c>
      <c r="V382" s="66" t="s">
        <v>73</v>
      </c>
      <c r="W382" s="60">
        <f t="shared" si="79"/>
        <v>0.33333333333333331</v>
      </c>
      <c r="X382" s="54">
        <f t="shared" si="101"/>
        <v>0.24</v>
      </c>
      <c r="Y382" s="80">
        <f t="shared" si="99"/>
        <v>0.16</v>
      </c>
      <c r="Z382" s="79">
        <f t="shared" si="100"/>
        <v>0.06</v>
      </c>
      <c r="AA382" s="79">
        <f t="shared" si="100"/>
        <v>0.06</v>
      </c>
      <c r="AB382" s="57">
        <f t="shared" si="102"/>
        <v>4.6079999999999992E-5</v>
      </c>
      <c r="AC382" s="53">
        <f t="shared" si="103"/>
        <v>4.6079999999999992E-5</v>
      </c>
    </row>
    <row r="383" spans="20:29" x14ac:dyDescent="0.25">
      <c r="T383" s="71" t="s">
        <v>84</v>
      </c>
      <c r="U383" s="76" t="s">
        <v>78</v>
      </c>
      <c r="V383" s="66" t="s">
        <v>74</v>
      </c>
      <c r="W383" s="60">
        <f t="shared" si="79"/>
        <v>0.33333333333333331</v>
      </c>
      <c r="X383" s="54">
        <f t="shared" si="101"/>
        <v>0.24</v>
      </c>
      <c r="Y383" s="80">
        <f t="shared" si="99"/>
        <v>0.16</v>
      </c>
      <c r="Z383" s="79">
        <f t="shared" si="100"/>
        <v>0.06</v>
      </c>
      <c r="AA383" s="80">
        <f t="shared" si="100"/>
        <v>0.94</v>
      </c>
      <c r="AB383" s="57">
        <f t="shared" si="102"/>
        <v>7.2191999999999992E-4</v>
      </c>
      <c r="AC383" s="53">
        <f t="shared" si="103"/>
        <v>7.2191999999999992E-4</v>
      </c>
    </row>
    <row r="384" spans="20:29" x14ac:dyDescent="0.25">
      <c r="T384" s="71" t="s">
        <v>84</v>
      </c>
      <c r="U384" s="76" t="s">
        <v>78</v>
      </c>
      <c r="V384" s="66" t="s">
        <v>75</v>
      </c>
      <c r="W384" s="60">
        <f t="shared" si="79"/>
        <v>0.33333333333333331</v>
      </c>
      <c r="X384" s="54">
        <f t="shared" si="101"/>
        <v>0.24</v>
      </c>
      <c r="Y384" s="80">
        <f t="shared" si="99"/>
        <v>0.16</v>
      </c>
      <c r="Z384" s="80">
        <f t="shared" si="100"/>
        <v>0.94</v>
      </c>
      <c r="AA384" s="55">
        <f t="shared" si="100"/>
        <v>0</v>
      </c>
      <c r="AB384" s="57">
        <f t="shared" si="102"/>
        <v>0</v>
      </c>
      <c r="AC384" s="53">
        <f t="shared" si="103"/>
        <v>0</v>
      </c>
    </row>
    <row r="385" spans="20:29" x14ac:dyDescent="0.25">
      <c r="T385" s="71" t="s">
        <v>84</v>
      </c>
      <c r="U385" s="76" t="s">
        <v>78</v>
      </c>
      <c r="V385" s="66" t="s">
        <v>76</v>
      </c>
      <c r="W385" s="60">
        <f t="shared" si="79"/>
        <v>0.33333333333333331</v>
      </c>
      <c r="X385" s="54">
        <f t="shared" si="101"/>
        <v>0.24</v>
      </c>
      <c r="Y385" s="80">
        <f t="shared" si="99"/>
        <v>0.16</v>
      </c>
      <c r="Z385" s="80">
        <f t="shared" si="100"/>
        <v>0.94</v>
      </c>
      <c r="AA385" s="79">
        <f t="shared" si="100"/>
        <v>0.06</v>
      </c>
      <c r="AB385" s="57">
        <f t="shared" si="102"/>
        <v>7.2191999999999981E-4</v>
      </c>
      <c r="AC385" s="53">
        <f t="shared" si="103"/>
        <v>7.2191999999999981E-4</v>
      </c>
    </row>
    <row r="386" spans="20:29" x14ac:dyDescent="0.25">
      <c r="T386" s="71" t="s">
        <v>84</v>
      </c>
      <c r="U386" s="76" t="s">
        <v>78</v>
      </c>
      <c r="V386" s="67" t="s">
        <v>77</v>
      </c>
      <c r="W386" s="60">
        <f t="shared" si="79"/>
        <v>0.33333333333333331</v>
      </c>
      <c r="X386" s="54">
        <f t="shared" si="101"/>
        <v>0.24</v>
      </c>
      <c r="Y386" s="80">
        <f t="shared" si="99"/>
        <v>0.16</v>
      </c>
      <c r="Z386" s="80">
        <f t="shared" si="100"/>
        <v>0.94</v>
      </c>
      <c r="AA386" s="80">
        <f t="shared" si="100"/>
        <v>0.94</v>
      </c>
      <c r="AB386" s="57">
        <f t="shared" si="102"/>
        <v>1.1310079999999997E-2</v>
      </c>
      <c r="AC386" s="53">
        <f t="shared" si="103"/>
        <v>1.1310079999999997E-2</v>
      </c>
    </row>
    <row r="387" spans="20:29" x14ac:dyDescent="0.25">
      <c r="T387" s="61" t="s">
        <v>84</v>
      </c>
      <c r="U387" s="77" t="s">
        <v>79</v>
      </c>
      <c r="V387" s="62" t="s">
        <v>39</v>
      </c>
      <c r="W387" s="60">
        <f>$M$153</f>
        <v>0.33333333333333331</v>
      </c>
      <c r="X387" s="54">
        <f>$R$161</f>
        <v>0.74</v>
      </c>
      <c r="Y387" s="55">
        <f t="shared" ref="Y387:Y413" si="104">Y333</f>
        <v>0.42</v>
      </c>
      <c r="Z387" s="55">
        <f t="shared" ref="Z387:AA413" si="105">Z333</f>
        <v>0</v>
      </c>
      <c r="AA387" s="55">
        <f t="shared" si="105"/>
        <v>0</v>
      </c>
      <c r="AB387" s="57">
        <f>PRODUCT(W387:AA387)</f>
        <v>0</v>
      </c>
      <c r="AC387" s="53">
        <f>AB387</f>
        <v>0</v>
      </c>
    </row>
    <row r="388" spans="20:29" x14ac:dyDescent="0.25">
      <c r="T388" s="61" t="s">
        <v>84</v>
      </c>
      <c r="U388" s="77" t="s">
        <v>79</v>
      </c>
      <c r="V388" s="64" t="s">
        <v>40</v>
      </c>
      <c r="W388" s="60">
        <f t="shared" si="79"/>
        <v>0.33333333333333331</v>
      </c>
      <c r="X388" s="54">
        <f t="shared" ref="X388:X413" si="106">$R$161</f>
        <v>0.74</v>
      </c>
      <c r="Y388" s="55">
        <f t="shared" si="104"/>
        <v>0.42</v>
      </c>
      <c r="Z388" s="55">
        <f t="shared" si="105"/>
        <v>0</v>
      </c>
      <c r="AA388" s="79">
        <f t="shared" si="105"/>
        <v>0.06</v>
      </c>
      <c r="AB388" s="57">
        <f t="shared" ref="AB388:AB413" si="107">PRODUCT(W388:AA388)</f>
        <v>0</v>
      </c>
      <c r="AC388" s="53">
        <f t="shared" ref="AC388:AC413" si="108">AB388</f>
        <v>0</v>
      </c>
    </row>
    <row r="389" spans="20:29" x14ac:dyDescent="0.25">
      <c r="T389" s="61" t="s">
        <v>84</v>
      </c>
      <c r="U389" s="77" t="s">
        <v>79</v>
      </c>
      <c r="V389" s="64" t="s">
        <v>45</v>
      </c>
      <c r="W389" s="60">
        <f t="shared" si="79"/>
        <v>0.33333333333333331</v>
      </c>
      <c r="X389" s="54">
        <f t="shared" si="106"/>
        <v>0.74</v>
      </c>
      <c r="Y389" s="55">
        <f t="shared" si="104"/>
        <v>0.42</v>
      </c>
      <c r="Z389" s="55">
        <f t="shared" si="105"/>
        <v>0</v>
      </c>
      <c r="AA389" s="80">
        <f t="shared" si="105"/>
        <v>0.94</v>
      </c>
      <c r="AB389" s="57">
        <f t="shared" si="107"/>
        <v>0</v>
      </c>
      <c r="AC389" s="53">
        <f t="shared" si="108"/>
        <v>0</v>
      </c>
    </row>
    <row r="390" spans="20:29" x14ac:dyDescent="0.25">
      <c r="T390" s="61" t="s">
        <v>84</v>
      </c>
      <c r="U390" s="77" t="s">
        <v>79</v>
      </c>
      <c r="V390" s="64" t="s">
        <v>46</v>
      </c>
      <c r="W390" s="60">
        <f t="shared" si="79"/>
        <v>0.33333333333333331</v>
      </c>
      <c r="X390" s="54">
        <f t="shared" si="106"/>
        <v>0.74</v>
      </c>
      <c r="Y390" s="55">
        <f t="shared" si="104"/>
        <v>0.42</v>
      </c>
      <c r="Z390" s="79">
        <f t="shared" si="105"/>
        <v>0.06</v>
      </c>
      <c r="AA390" s="55">
        <f t="shared" si="105"/>
        <v>0</v>
      </c>
      <c r="AB390" s="57">
        <f t="shared" si="107"/>
        <v>0</v>
      </c>
      <c r="AC390" s="53">
        <f t="shared" si="108"/>
        <v>0</v>
      </c>
    </row>
    <row r="391" spans="20:29" x14ac:dyDescent="0.25">
      <c r="T391" s="61" t="s">
        <v>84</v>
      </c>
      <c r="U391" s="77" t="s">
        <v>79</v>
      </c>
      <c r="V391" s="64" t="s">
        <v>47</v>
      </c>
      <c r="W391" s="60">
        <f t="shared" si="79"/>
        <v>0.33333333333333331</v>
      </c>
      <c r="X391" s="54">
        <f t="shared" si="106"/>
        <v>0.74</v>
      </c>
      <c r="Y391" s="55">
        <f t="shared" si="104"/>
        <v>0.42</v>
      </c>
      <c r="Z391" s="79">
        <f t="shared" si="105"/>
        <v>0.06</v>
      </c>
      <c r="AA391" s="79">
        <f t="shared" si="105"/>
        <v>0.06</v>
      </c>
      <c r="AB391" s="57">
        <f t="shared" si="107"/>
        <v>3.7295999999999987E-4</v>
      </c>
      <c r="AC391" s="53">
        <f t="shared" si="108"/>
        <v>3.7295999999999987E-4</v>
      </c>
    </row>
    <row r="392" spans="20:29" x14ac:dyDescent="0.25">
      <c r="T392" s="61" t="s">
        <v>84</v>
      </c>
      <c r="U392" s="77" t="s">
        <v>79</v>
      </c>
      <c r="V392" s="64" t="s">
        <v>48</v>
      </c>
      <c r="W392" s="60">
        <f t="shared" si="79"/>
        <v>0.33333333333333331</v>
      </c>
      <c r="X392" s="54">
        <f t="shared" si="106"/>
        <v>0.74</v>
      </c>
      <c r="Y392" s="55">
        <f t="shared" si="104"/>
        <v>0.42</v>
      </c>
      <c r="Z392" s="79">
        <f t="shared" si="105"/>
        <v>0.06</v>
      </c>
      <c r="AA392" s="80">
        <f t="shared" si="105"/>
        <v>0.94</v>
      </c>
      <c r="AB392" s="57">
        <f t="shared" si="107"/>
        <v>5.8430399999999981E-3</v>
      </c>
      <c r="AC392" s="53">
        <f t="shared" si="108"/>
        <v>5.8430399999999981E-3</v>
      </c>
    </row>
    <row r="393" spans="20:29" x14ac:dyDescent="0.25">
      <c r="T393" s="61" t="s">
        <v>84</v>
      </c>
      <c r="U393" s="77" t="s">
        <v>79</v>
      </c>
      <c r="V393" s="64" t="s">
        <v>49</v>
      </c>
      <c r="W393" s="60">
        <f t="shared" si="79"/>
        <v>0.33333333333333331</v>
      </c>
      <c r="X393" s="54">
        <f t="shared" si="106"/>
        <v>0.74</v>
      </c>
      <c r="Y393" s="55">
        <f t="shared" si="104"/>
        <v>0.42</v>
      </c>
      <c r="Z393" s="80">
        <f t="shared" si="105"/>
        <v>0.94</v>
      </c>
      <c r="AA393" s="55">
        <f t="shared" si="105"/>
        <v>0</v>
      </c>
      <c r="AB393" s="57">
        <f t="shared" si="107"/>
        <v>0</v>
      </c>
      <c r="AC393" s="53">
        <f t="shared" si="108"/>
        <v>0</v>
      </c>
    </row>
    <row r="394" spans="20:29" x14ac:dyDescent="0.25">
      <c r="T394" s="61" t="s">
        <v>84</v>
      </c>
      <c r="U394" s="77" t="s">
        <v>79</v>
      </c>
      <c r="V394" s="64" t="s">
        <v>50</v>
      </c>
      <c r="W394" s="60">
        <f t="shared" si="79"/>
        <v>0.33333333333333331</v>
      </c>
      <c r="X394" s="54">
        <f t="shared" si="106"/>
        <v>0.74</v>
      </c>
      <c r="Y394" s="55">
        <f t="shared" si="104"/>
        <v>0.42</v>
      </c>
      <c r="Z394" s="80">
        <f t="shared" si="105"/>
        <v>0.94</v>
      </c>
      <c r="AA394" s="79">
        <f t="shared" si="105"/>
        <v>0.06</v>
      </c>
      <c r="AB394" s="57">
        <f t="shared" si="107"/>
        <v>5.843039999999999E-3</v>
      </c>
      <c r="AC394" s="53">
        <f t="shared" si="108"/>
        <v>5.843039999999999E-3</v>
      </c>
    </row>
    <row r="395" spans="20:29" x14ac:dyDescent="0.25">
      <c r="T395" s="61" t="s">
        <v>84</v>
      </c>
      <c r="U395" s="77" t="s">
        <v>79</v>
      </c>
      <c r="V395" s="64" t="s">
        <v>55</v>
      </c>
      <c r="W395" s="60">
        <f t="shared" si="79"/>
        <v>0.33333333333333331</v>
      </c>
      <c r="X395" s="54">
        <f t="shared" si="106"/>
        <v>0.74</v>
      </c>
      <c r="Y395" s="55">
        <f t="shared" si="104"/>
        <v>0.42</v>
      </c>
      <c r="Z395" s="80">
        <f t="shared" si="105"/>
        <v>0.94</v>
      </c>
      <c r="AA395" s="80">
        <f t="shared" si="105"/>
        <v>0.94</v>
      </c>
      <c r="AB395" s="57">
        <f t="shared" si="107"/>
        <v>9.1540959999999977E-2</v>
      </c>
      <c r="AC395" s="53">
        <f t="shared" si="108"/>
        <v>9.1540959999999977E-2</v>
      </c>
    </row>
    <row r="396" spans="20:29" x14ac:dyDescent="0.25">
      <c r="T396" s="72" t="s">
        <v>84</v>
      </c>
      <c r="U396" s="75" t="s">
        <v>79</v>
      </c>
      <c r="V396" s="65" t="s">
        <v>56</v>
      </c>
      <c r="W396" s="60">
        <f t="shared" si="79"/>
        <v>0.33333333333333331</v>
      </c>
      <c r="X396" s="54">
        <f t="shared" si="106"/>
        <v>0.74</v>
      </c>
      <c r="Y396" s="79">
        <f t="shared" si="104"/>
        <v>0.42</v>
      </c>
      <c r="Z396" s="55">
        <f t="shared" si="105"/>
        <v>0</v>
      </c>
      <c r="AA396" s="55">
        <f t="shared" si="105"/>
        <v>0</v>
      </c>
      <c r="AB396" s="57">
        <f t="shared" si="107"/>
        <v>0</v>
      </c>
      <c r="AC396" s="53">
        <f t="shared" si="108"/>
        <v>0</v>
      </c>
    </row>
    <row r="397" spans="20:29" x14ac:dyDescent="0.25">
      <c r="T397" s="72" t="s">
        <v>84</v>
      </c>
      <c r="U397" s="75" t="s">
        <v>79</v>
      </c>
      <c r="V397" s="65" t="s">
        <v>57</v>
      </c>
      <c r="W397" s="60">
        <f t="shared" si="79"/>
        <v>0.33333333333333331</v>
      </c>
      <c r="X397" s="54">
        <f t="shared" si="106"/>
        <v>0.74</v>
      </c>
      <c r="Y397" s="79">
        <f t="shared" si="104"/>
        <v>0.42</v>
      </c>
      <c r="Z397" s="55">
        <f t="shared" si="105"/>
        <v>0</v>
      </c>
      <c r="AA397" s="79">
        <f t="shared" si="105"/>
        <v>0.06</v>
      </c>
      <c r="AB397" s="57">
        <f t="shared" si="107"/>
        <v>0</v>
      </c>
      <c r="AC397" s="53">
        <f t="shared" si="108"/>
        <v>0</v>
      </c>
    </row>
    <row r="398" spans="20:29" x14ac:dyDescent="0.25">
      <c r="T398" s="72" t="s">
        <v>84</v>
      </c>
      <c r="U398" s="75" t="s">
        <v>79</v>
      </c>
      <c r="V398" s="65" t="s">
        <v>58</v>
      </c>
      <c r="W398" s="60">
        <f t="shared" ref="W398:W413" si="109">$M$153</f>
        <v>0.33333333333333331</v>
      </c>
      <c r="X398" s="54">
        <f t="shared" si="106"/>
        <v>0.74</v>
      </c>
      <c r="Y398" s="79">
        <f t="shared" si="104"/>
        <v>0.42</v>
      </c>
      <c r="Z398" s="55">
        <f t="shared" si="105"/>
        <v>0</v>
      </c>
      <c r="AA398" s="80">
        <f t="shared" si="105"/>
        <v>0.94</v>
      </c>
      <c r="AB398" s="57">
        <f t="shared" si="107"/>
        <v>0</v>
      </c>
      <c r="AC398" s="53">
        <f t="shared" si="108"/>
        <v>0</v>
      </c>
    </row>
    <row r="399" spans="20:29" x14ac:dyDescent="0.25">
      <c r="T399" s="72" t="s">
        <v>84</v>
      </c>
      <c r="U399" s="75" t="s">
        <v>79</v>
      </c>
      <c r="V399" s="65" t="s">
        <v>59</v>
      </c>
      <c r="W399" s="60">
        <f t="shared" si="109"/>
        <v>0.33333333333333331</v>
      </c>
      <c r="X399" s="54">
        <f t="shared" si="106"/>
        <v>0.74</v>
      </c>
      <c r="Y399" s="79">
        <f t="shared" si="104"/>
        <v>0.42</v>
      </c>
      <c r="Z399" s="79">
        <f t="shared" si="105"/>
        <v>0.06</v>
      </c>
      <c r="AA399" s="55">
        <f t="shared" si="105"/>
        <v>0</v>
      </c>
      <c r="AB399" s="57">
        <f t="shared" si="107"/>
        <v>0</v>
      </c>
      <c r="AC399" s="53">
        <f t="shared" si="108"/>
        <v>0</v>
      </c>
    </row>
    <row r="400" spans="20:29" x14ac:dyDescent="0.25">
      <c r="T400" s="72" t="s">
        <v>84</v>
      </c>
      <c r="U400" s="75" t="s">
        <v>79</v>
      </c>
      <c r="V400" s="65" t="s">
        <v>60</v>
      </c>
      <c r="W400" s="60">
        <f t="shared" si="109"/>
        <v>0.33333333333333331</v>
      </c>
      <c r="X400" s="54">
        <f t="shared" si="106"/>
        <v>0.74</v>
      </c>
      <c r="Y400" s="79">
        <f t="shared" si="104"/>
        <v>0.42</v>
      </c>
      <c r="Z400" s="79">
        <f t="shared" si="105"/>
        <v>0.06</v>
      </c>
      <c r="AA400" s="79">
        <f t="shared" si="105"/>
        <v>0.06</v>
      </c>
      <c r="AB400" s="57">
        <f t="shared" si="107"/>
        <v>3.7295999999999987E-4</v>
      </c>
      <c r="AC400" s="53">
        <f t="shared" si="108"/>
        <v>3.7295999999999987E-4</v>
      </c>
    </row>
    <row r="401" spans="19:29" x14ac:dyDescent="0.25">
      <c r="T401" s="72" t="s">
        <v>84</v>
      </c>
      <c r="U401" s="75" t="s">
        <v>79</v>
      </c>
      <c r="V401" s="65" t="s">
        <v>65</v>
      </c>
      <c r="W401" s="60">
        <f t="shared" si="109"/>
        <v>0.33333333333333331</v>
      </c>
      <c r="X401" s="54">
        <f t="shared" si="106"/>
        <v>0.74</v>
      </c>
      <c r="Y401" s="79">
        <f t="shared" si="104"/>
        <v>0.42</v>
      </c>
      <c r="Z401" s="79">
        <f t="shared" si="105"/>
        <v>0.06</v>
      </c>
      <c r="AA401" s="80">
        <f t="shared" si="105"/>
        <v>0.94</v>
      </c>
      <c r="AB401" s="57">
        <f t="shared" si="107"/>
        <v>5.8430399999999981E-3</v>
      </c>
      <c r="AC401" s="53">
        <f t="shared" si="108"/>
        <v>5.8430399999999981E-3</v>
      </c>
    </row>
    <row r="402" spans="19:29" x14ac:dyDescent="0.25">
      <c r="T402" s="72" t="s">
        <v>84</v>
      </c>
      <c r="U402" s="75" t="s">
        <v>79</v>
      </c>
      <c r="V402" s="65" t="s">
        <v>66</v>
      </c>
      <c r="W402" s="60">
        <f t="shared" si="109"/>
        <v>0.33333333333333331</v>
      </c>
      <c r="X402" s="54">
        <f t="shared" si="106"/>
        <v>0.74</v>
      </c>
      <c r="Y402" s="79">
        <f t="shared" si="104"/>
        <v>0.42</v>
      </c>
      <c r="Z402" s="80">
        <f t="shared" si="105"/>
        <v>0.94</v>
      </c>
      <c r="AA402" s="55">
        <f t="shared" si="105"/>
        <v>0</v>
      </c>
      <c r="AB402" s="57">
        <f t="shared" si="107"/>
        <v>0</v>
      </c>
      <c r="AC402" s="53">
        <f t="shared" si="108"/>
        <v>0</v>
      </c>
    </row>
    <row r="403" spans="19:29" x14ac:dyDescent="0.25">
      <c r="T403" s="72" t="s">
        <v>84</v>
      </c>
      <c r="U403" s="75" t="s">
        <v>79</v>
      </c>
      <c r="V403" s="65" t="s">
        <v>67</v>
      </c>
      <c r="W403" s="60">
        <f t="shared" si="109"/>
        <v>0.33333333333333331</v>
      </c>
      <c r="X403" s="54">
        <f t="shared" si="106"/>
        <v>0.74</v>
      </c>
      <c r="Y403" s="79">
        <f t="shared" si="104"/>
        <v>0.42</v>
      </c>
      <c r="Z403" s="80">
        <f t="shared" si="105"/>
        <v>0.94</v>
      </c>
      <c r="AA403" s="79">
        <f t="shared" si="105"/>
        <v>0.06</v>
      </c>
      <c r="AB403" s="57">
        <f t="shared" si="107"/>
        <v>5.843039999999999E-3</v>
      </c>
      <c r="AC403" s="53">
        <f t="shared" si="108"/>
        <v>5.843039999999999E-3</v>
      </c>
    </row>
    <row r="404" spans="19:29" x14ac:dyDescent="0.25">
      <c r="S404" s="82"/>
      <c r="T404" s="72" t="s">
        <v>84</v>
      </c>
      <c r="U404" s="75" t="s">
        <v>79</v>
      </c>
      <c r="V404" s="65" t="s">
        <v>68</v>
      </c>
      <c r="W404" s="60">
        <f t="shared" si="109"/>
        <v>0.33333333333333331</v>
      </c>
      <c r="X404" s="54">
        <f t="shared" si="106"/>
        <v>0.74</v>
      </c>
      <c r="Y404" s="79">
        <f t="shared" si="104"/>
        <v>0.42</v>
      </c>
      <c r="Z404" s="80">
        <f t="shared" si="105"/>
        <v>0.94</v>
      </c>
      <c r="AA404" s="80">
        <f t="shared" si="105"/>
        <v>0.94</v>
      </c>
      <c r="AB404" s="57">
        <f t="shared" si="107"/>
        <v>9.1540959999999977E-2</v>
      </c>
      <c r="AC404" s="53">
        <f t="shared" si="108"/>
        <v>9.1540959999999977E-2</v>
      </c>
    </row>
    <row r="405" spans="19:29" x14ac:dyDescent="0.25">
      <c r="T405" s="71" t="s">
        <v>84</v>
      </c>
      <c r="U405" s="76" t="s">
        <v>79</v>
      </c>
      <c r="V405" s="66" t="s">
        <v>69</v>
      </c>
      <c r="W405" s="60">
        <f t="shared" si="109"/>
        <v>0.33333333333333331</v>
      </c>
      <c r="X405" s="54">
        <f t="shared" si="106"/>
        <v>0.74</v>
      </c>
      <c r="Y405" s="80">
        <f t="shared" si="104"/>
        <v>0.16</v>
      </c>
      <c r="Z405" s="55">
        <f t="shared" si="105"/>
        <v>0</v>
      </c>
      <c r="AA405" s="55">
        <f t="shared" si="105"/>
        <v>0</v>
      </c>
      <c r="AB405" s="57">
        <f t="shared" si="107"/>
        <v>0</v>
      </c>
      <c r="AC405" s="53">
        <f t="shared" si="108"/>
        <v>0</v>
      </c>
    </row>
    <row r="406" spans="19:29" x14ac:dyDescent="0.25">
      <c r="T406" s="71" t="s">
        <v>84</v>
      </c>
      <c r="U406" s="76" t="s">
        <v>79</v>
      </c>
      <c r="V406" s="66" t="s">
        <v>70</v>
      </c>
      <c r="W406" s="60">
        <f t="shared" si="109"/>
        <v>0.33333333333333331</v>
      </c>
      <c r="X406" s="54">
        <f t="shared" si="106"/>
        <v>0.74</v>
      </c>
      <c r="Y406" s="80">
        <f t="shared" si="104"/>
        <v>0.16</v>
      </c>
      <c r="Z406" s="55">
        <f t="shared" si="105"/>
        <v>0</v>
      </c>
      <c r="AA406" s="79">
        <f t="shared" si="105"/>
        <v>0.06</v>
      </c>
      <c r="AB406" s="57">
        <f t="shared" si="107"/>
        <v>0</v>
      </c>
      <c r="AC406" s="53">
        <f t="shared" si="108"/>
        <v>0</v>
      </c>
    </row>
    <row r="407" spans="19:29" x14ac:dyDescent="0.25">
      <c r="T407" s="71" t="s">
        <v>84</v>
      </c>
      <c r="U407" s="76" t="s">
        <v>79</v>
      </c>
      <c r="V407" s="66" t="s">
        <v>71</v>
      </c>
      <c r="W407" s="60">
        <f t="shared" si="109"/>
        <v>0.33333333333333331</v>
      </c>
      <c r="X407" s="54">
        <f t="shared" si="106"/>
        <v>0.74</v>
      </c>
      <c r="Y407" s="80">
        <f t="shared" si="104"/>
        <v>0.16</v>
      </c>
      <c r="Z407" s="55">
        <f t="shared" si="105"/>
        <v>0</v>
      </c>
      <c r="AA407" s="80">
        <f t="shared" si="105"/>
        <v>0.94</v>
      </c>
      <c r="AB407" s="57">
        <f t="shared" si="107"/>
        <v>0</v>
      </c>
      <c r="AC407" s="53">
        <f t="shared" si="108"/>
        <v>0</v>
      </c>
    </row>
    <row r="408" spans="19:29" x14ac:dyDescent="0.25">
      <c r="T408" s="71" t="s">
        <v>84</v>
      </c>
      <c r="U408" s="76" t="s">
        <v>79</v>
      </c>
      <c r="V408" s="66" t="s">
        <v>72</v>
      </c>
      <c r="W408" s="60">
        <f t="shared" si="109"/>
        <v>0.33333333333333331</v>
      </c>
      <c r="X408" s="54">
        <f t="shared" si="106"/>
        <v>0.74</v>
      </c>
      <c r="Y408" s="80">
        <f t="shared" si="104"/>
        <v>0.16</v>
      </c>
      <c r="Z408" s="79">
        <f t="shared" si="105"/>
        <v>0.06</v>
      </c>
      <c r="AA408" s="55">
        <f t="shared" si="105"/>
        <v>0</v>
      </c>
      <c r="AB408" s="57">
        <f t="shared" si="107"/>
        <v>0</v>
      </c>
      <c r="AC408" s="53">
        <f t="shared" si="108"/>
        <v>0</v>
      </c>
    </row>
    <row r="409" spans="19:29" x14ac:dyDescent="0.25">
      <c r="T409" s="71" t="s">
        <v>84</v>
      </c>
      <c r="U409" s="76" t="s">
        <v>79</v>
      </c>
      <c r="V409" s="66" t="s">
        <v>73</v>
      </c>
      <c r="W409" s="60">
        <f t="shared" si="109"/>
        <v>0.33333333333333331</v>
      </c>
      <c r="X409" s="54">
        <f t="shared" si="106"/>
        <v>0.74</v>
      </c>
      <c r="Y409" s="80">
        <f t="shared" si="104"/>
        <v>0.16</v>
      </c>
      <c r="Z409" s="79">
        <f t="shared" si="105"/>
        <v>0.06</v>
      </c>
      <c r="AA409" s="79">
        <f t="shared" si="105"/>
        <v>0.06</v>
      </c>
      <c r="AB409" s="57">
        <f t="shared" si="107"/>
        <v>1.4207999999999999E-4</v>
      </c>
      <c r="AC409" s="53">
        <f t="shared" si="108"/>
        <v>1.4207999999999999E-4</v>
      </c>
    </row>
    <row r="410" spans="19:29" x14ac:dyDescent="0.25">
      <c r="T410" s="71" t="s">
        <v>84</v>
      </c>
      <c r="U410" s="76" t="s">
        <v>79</v>
      </c>
      <c r="V410" s="66" t="s">
        <v>74</v>
      </c>
      <c r="W410" s="60">
        <f t="shared" si="109"/>
        <v>0.33333333333333331</v>
      </c>
      <c r="X410" s="54">
        <f t="shared" si="106"/>
        <v>0.74</v>
      </c>
      <c r="Y410" s="80">
        <f t="shared" si="104"/>
        <v>0.16</v>
      </c>
      <c r="Z410" s="79">
        <f t="shared" si="105"/>
        <v>0.06</v>
      </c>
      <c r="AA410" s="80">
        <f t="shared" si="105"/>
        <v>0.94</v>
      </c>
      <c r="AB410" s="57">
        <f t="shared" si="107"/>
        <v>2.2259199999999997E-3</v>
      </c>
      <c r="AC410" s="53">
        <f t="shared" si="108"/>
        <v>2.2259199999999997E-3</v>
      </c>
    </row>
    <row r="411" spans="19:29" x14ac:dyDescent="0.25">
      <c r="T411" s="71" t="s">
        <v>84</v>
      </c>
      <c r="U411" s="76" t="s">
        <v>79</v>
      </c>
      <c r="V411" s="66" t="s">
        <v>75</v>
      </c>
      <c r="W411" s="60">
        <f t="shared" si="109"/>
        <v>0.33333333333333331</v>
      </c>
      <c r="X411" s="54">
        <f t="shared" si="106"/>
        <v>0.74</v>
      </c>
      <c r="Y411" s="80">
        <f t="shared" si="104"/>
        <v>0.16</v>
      </c>
      <c r="Z411" s="80">
        <f t="shared" si="105"/>
        <v>0.94</v>
      </c>
      <c r="AA411" s="55">
        <f t="shared" si="105"/>
        <v>0</v>
      </c>
      <c r="AB411" s="57">
        <f t="shared" si="107"/>
        <v>0</v>
      </c>
      <c r="AC411" s="53">
        <f t="shared" si="108"/>
        <v>0</v>
      </c>
    </row>
    <row r="412" spans="19:29" x14ac:dyDescent="0.25">
      <c r="T412" s="71" t="s">
        <v>84</v>
      </c>
      <c r="U412" s="76" t="s">
        <v>79</v>
      </c>
      <c r="V412" s="66" t="s">
        <v>76</v>
      </c>
      <c r="W412" s="60">
        <f t="shared" si="109"/>
        <v>0.33333333333333331</v>
      </c>
      <c r="X412" s="54">
        <f t="shared" si="106"/>
        <v>0.74</v>
      </c>
      <c r="Y412" s="80">
        <f t="shared" si="104"/>
        <v>0.16</v>
      </c>
      <c r="Z412" s="80">
        <f t="shared" si="105"/>
        <v>0.94</v>
      </c>
      <c r="AA412" s="79">
        <f t="shared" si="105"/>
        <v>0.06</v>
      </c>
      <c r="AB412" s="57">
        <f t="shared" si="107"/>
        <v>2.2259199999999997E-3</v>
      </c>
      <c r="AC412" s="53">
        <f t="shared" si="108"/>
        <v>2.2259199999999997E-3</v>
      </c>
    </row>
    <row r="413" spans="19:29" x14ac:dyDescent="0.25">
      <c r="T413" s="81" t="s">
        <v>84</v>
      </c>
      <c r="U413" s="78" t="s">
        <v>79</v>
      </c>
      <c r="V413" s="67" t="s">
        <v>77</v>
      </c>
      <c r="W413" s="60">
        <f t="shared" si="109"/>
        <v>0.33333333333333331</v>
      </c>
      <c r="X413" s="54">
        <f t="shared" si="106"/>
        <v>0.74</v>
      </c>
      <c r="Y413" s="80">
        <f t="shared" si="104"/>
        <v>0.16</v>
      </c>
      <c r="Z413" s="80">
        <f t="shared" si="105"/>
        <v>0.94</v>
      </c>
      <c r="AA413" s="80">
        <f t="shared" si="105"/>
        <v>0.94</v>
      </c>
      <c r="AB413" s="57">
        <f t="shared" si="107"/>
        <v>3.4872746666666662E-2</v>
      </c>
      <c r="AC413" s="53">
        <f t="shared" si="108"/>
        <v>3.4872746666666662E-2</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6"/>
  <sheetViews>
    <sheetView tabSelected="1" workbookViewId="0">
      <selection activeCell="C41" sqref="C41"/>
    </sheetView>
  </sheetViews>
  <sheetFormatPr baseColWidth="10" defaultColWidth="9.140625" defaultRowHeight="15" x14ac:dyDescent="0.25"/>
  <cols>
    <col min="1" max="1" width="16" customWidth="1"/>
    <col min="2" max="5" width="12" customWidth="1"/>
    <col min="6" max="8" width="14" customWidth="1"/>
    <col min="9" max="9" width="18.85546875" customWidth="1"/>
    <col min="10" max="10" width="17.42578125" customWidth="1"/>
    <col min="11" max="11" width="22.140625" customWidth="1"/>
  </cols>
  <sheetData>
    <row r="1" spans="1:11" ht="26.1" customHeight="1" x14ac:dyDescent="0.25"/>
    <row r="2" spans="1:11" ht="33.950000000000003" customHeight="1" x14ac:dyDescent="0.25">
      <c r="A2" s="87" t="s">
        <v>85</v>
      </c>
      <c r="B2" s="87"/>
      <c r="C2" s="87"/>
      <c r="D2" s="87"/>
      <c r="E2" s="87"/>
      <c r="F2" s="87"/>
      <c r="G2" s="87"/>
      <c r="H2" s="87"/>
      <c r="I2" s="87"/>
      <c r="J2" s="87"/>
      <c r="K2" s="87"/>
    </row>
    <row r="4" spans="1:11" ht="30" x14ac:dyDescent="0.25">
      <c r="A4" s="88" t="s">
        <v>86</v>
      </c>
      <c r="B4" s="89" t="s">
        <v>0</v>
      </c>
      <c r="C4" s="89" t="s">
        <v>1</v>
      </c>
      <c r="D4" s="89" t="s">
        <v>2</v>
      </c>
      <c r="E4" s="89" t="s">
        <v>3</v>
      </c>
      <c r="F4" s="89" t="s">
        <v>87</v>
      </c>
      <c r="G4" s="89" t="s">
        <v>88</v>
      </c>
      <c r="H4" s="89" t="s">
        <v>89</v>
      </c>
      <c r="I4" s="89" t="s">
        <v>90</v>
      </c>
      <c r="J4" s="89" t="s">
        <v>91</v>
      </c>
      <c r="K4" s="90" t="s">
        <v>92</v>
      </c>
    </row>
    <row r="5" spans="1:11" x14ac:dyDescent="0.25">
      <c r="A5" s="94">
        <v>1</v>
      </c>
      <c r="B5" s="96" t="s">
        <v>8</v>
      </c>
      <c r="C5" s="96" t="s">
        <v>8</v>
      </c>
      <c r="D5" s="96" t="s">
        <v>8</v>
      </c>
      <c r="E5" s="96" t="s">
        <v>8</v>
      </c>
      <c r="F5" s="96" t="s">
        <v>15</v>
      </c>
      <c r="G5" s="96" t="s">
        <v>15</v>
      </c>
      <c r="H5" s="97">
        <v>1.2E-2</v>
      </c>
      <c r="I5" s="97">
        <v>0</v>
      </c>
      <c r="J5" s="97">
        <v>0</v>
      </c>
      <c r="K5" s="98" t="str">
        <f t="shared" ref="K5:K24" si="0">IF(F5=G5,"Correcto","Error")</f>
        <v>Correcto</v>
      </c>
    </row>
    <row r="6" spans="1:11" x14ac:dyDescent="0.25">
      <c r="A6" s="94">
        <v>10</v>
      </c>
      <c r="B6" s="96" t="s">
        <v>8</v>
      </c>
      <c r="C6" s="96" t="s">
        <v>9</v>
      </c>
      <c r="D6" s="96" t="s">
        <v>8</v>
      </c>
      <c r="E6" s="96" t="s">
        <v>8</v>
      </c>
      <c r="F6" s="96" t="s">
        <v>15</v>
      </c>
      <c r="G6" s="96" t="s">
        <v>15</v>
      </c>
      <c r="H6" s="97">
        <v>0.192</v>
      </c>
      <c r="I6" s="97">
        <v>0</v>
      </c>
      <c r="J6" s="97">
        <v>0</v>
      </c>
      <c r="K6" s="98" t="str">
        <f t="shared" si="0"/>
        <v>Correcto</v>
      </c>
    </row>
    <row r="7" spans="1:11" x14ac:dyDescent="0.25">
      <c r="A7" s="94">
        <v>14</v>
      </c>
      <c r="B7" s="96" t="s">
        <v>8</v>
      </c>
      <c r="C7" s="96" t="s">
        <v>9</v>
      </c>
      <c r="D7" s="96" t="s">
        <v>8</v>
      </c>
      <c r="E7" s="96" t="s">
        <v>8</v>
      </c>
      <c r="F7" s="96" t="s">
        <v>15</v>
      </c>
      <c r="G7" s="96" t="s">
        <v>15</v>
      </c>
      <c r="H7" s="97">
        <v>0.192</v>
      </c>
      <c r="I7" s="97">
        <v>0</v>
      </c>
      <c r="J7" s="97">
        <v>0</v>
      </c>
      <c r="K7" s="98" t="str">
        <f t="shared" si="0"/>
        <v>Correcto</v>
      </c>
    </row>
    <row r="8" spans="1:11" x14ac:dyDescent="0.25">
      <c r="A8" s="94">
        <v>18</v>
      </c>
      <c r="B8" s="96" t="s">
        <v>8</v>
      </c>
      <c r="C8" s="96" t="s">
        <v>9</v>
      </c>
      <c r="D8" s="96" t="s">
        <v>8</v>
      </c>
      <c r="E8" s="96" t="s">
        <v>8</v>
      </c>
      <c r="F8" s="96" t="s">
        <v>15</v>
      </c>
      <c r="G8" s="96" t="s">
        <v>15</v>
      </c>
      <c r="H8" s="97">
        <v>0.192</v>
      </c>
      <c r="I8" s="97">
        <v>0</v>
      </c>
      <c r="J8" s="97">
        <v>0</v>
      </c>
      <c r="K8" s="98" t="str">
        <f t="shared" si="0"/>
        <v>Correcto</v>
      </c>
    </row>
    <row r="9" spans="1:11" x14ac:dyDescent="0.25">
      <c r="A9" s="94">
        <v>23</v>
      </c>
      <c r="B9" s="96" t="s">
        <v>8</v>
      </c>
      <c r="C9" s="96" t="s">
        <v>9</v>
      </c>
      <c r="D9" s="96" t="s">
        <v>8</v>
      </c>
      <c r="E9" s="96" t="s">
        <v>8</v>
      </c>
      <c r="F9" s="96" t="s">
        <v>15</v>
      </c>
      <c r="G9" s="96" t="s">
        <v>15</v>
      </c>
      <c r="H9" s="97">
        <v>0.192</v>
      </c>
      <c r="I9" s="97">
        <v>0</v>
      </c>
      <c r="J9" s="97">
        <v>0</v>
      </c>
      <c r="K9" s="98" t="str">
        <f t="shared" si="0"/>
        <v>Correcto</v>
      </c>
    </row>
    <row r="10" spans="1:11" x14ac:dyDescent="0.25">
      <c r="A10" s="94">
        <v>28</v>
      </c>
      <c r="B10" s="96" t="s">
        <v>8</v>
      </c>
      <c r="C10" s="96" t="s">
        <v>9</v>
      </c>
      <c r="D10" s="96" t="s">
        <v>8</v>
      </c>
      <c r="E10" s="96" t="s">
        <v>8</v>
      </c>
      <c r="F10" s="96" t="s">
        <v>15</v>
      </c>
      <c r="G10" s="96" t="s">
        <v>15</v>
      </c>
      <c r="H10" s="97">
        <v>0.192</v>
      </c>
      <c r="I10" s="97">
        <v>0</v>
      </c>
      <c r="J10" s="97">
        <v>0</v>
      </c>
      <c r="K10" s="98" t="str">
        <f t="shared" si="0"/>
        <v>Correcto</v>
      </c>
    </row>
    <row r="11" spans="1:11" x14ac:dyDescent="0.25">
      <c r="A11" s="94">
        <v>35</v>
      </c>
      <c r="B11" s="96" t="s">
        <v>8</v>
      </c>
      <c r="C11" s="96" t="s">
        <v>10</v>
      </c>
      <c r="D11" s="96" t="s">
        <v>8</v>
      </c>
      <c r="E11" s="96" t="s">
        <v>8</v>
      </c>
      <c r="F11" s="96" t="s">
        <v>15</v>
      </c>
      <c r="G11" s="96" t="s">
        <v>15</v>
      </c>
      <c r="H11" s="97">
        <v>9.6000000000000002E-2</v>
      </c>
      <c r="I11" s="97">
        <v>0</v>
      </c>
      <c r="J11" s="97">
        <v>0</v>
      </c>
      <c r="K11" s="98" t="str">
        <f t="shared" si="0"/>
        <v>Correcto</v>
      </c>
    </row>
    <row r="12" spans="1:11" x14ac:dyDescent="0.25">
      <c r="A12" s="94">
        <v>41</v>
      </c>
      <c r="B12" s="96" t="s">
        <v>8</v>
      </c>
      <c r="C12" s="96" t="s">
        <v>10</v>
      </c>
      <c r="D12" s="96" t="s">
        <v>8</v>
      </c>
      <c r="E12" s="96" t="s">
        <v>8</v>
      </c>
      <c r="F12" s="96" t="s">
        <v>15</v>
      </c>
      <c r="G12" s="96" t="s">
        <v>15</v>
      </c>
      <c r="H12" s="97">
        <v>9.6000000000000002E-2</v>
      </c>
      <c r="I12" s="97">
        <v>0</v>
      </c>
      <c r="J12" s="97">
        <v>0</v>
      </c>
      <c r="K12" s="98" t="str">
        <f t="shared" si="0"/>
        <v>Correcto</v>
      </c>
    </row>
    <row r="13" spans="1:11" x14ac:dyDescent="0.25">
      <c r="A13" s="94">
        <v>42</v>
      </c>
      <c r="B13" s="96" t="s">
        <v>8</v>
      </c>
      <c r="C13" s="96" t="s">
        <v>10</v>
      </c>
      <c r="D13" s="96" t="s">
        <v>8</v>
      </c>
      <c r="E13" s="96" t="s">
        <v>8</v>
      </c>
      <c r="F13" s="96" t="s">
        <v>15</v>
      </c>
      <c r="G13" s="96" t="s">
        <v>15</v>
      </c>
      <c r="H13" s="97">
        <v>9.6000000000000002E-2</v>
      </c>
      <c r="I13" s="97">
        <v>0</v>
      </c>
      <c r="J13" s="97">
        <v>0</v>
      </c>
      <c r="K13" s="98" t="str">
        <f t="shared" si="0"/>
        <v>Correcto</v>
      </c>
    </row>
    <row r="14" spans="1:11" x14ac:dyDescent="0.25">
      <c r="A14" s="94">
        <v>63</v>
      </c>
      <c r="B14" s="96" t="s">
        <v>9</v>
      </c>
      <c r="C14" s="96" t="s">
        <v>8</v>
      </c>
      <c r="D14" s="96" t="s">
        <v>9</v>
      </c>
      <c r="E14" s="96" t="s">
        <v>9</v>
      </c>
      <c r="F14" s="96" t="s">
        <v>19</v>
      </c>
      <c r="G14" s="96" t="s">
        <v>19</v>
      </c>
      <c r="H14" s="97">
        <v>0</v>
      </c>
      <c r="I14" s="97">
        <v>9.1540959999999977E-2</v>
      </c>
      <c r="J14" s="97">
        <v>5.0773333333333339E-4</v>
      </c>
      <c r="K14" s="98" t="str">
        <f t="shared" si="0"/>
        <v>Correcto</v>
      </c>
    </row>
    <row r="15" spans="1:11" x14ac:dyDescent="0.25">
      <c r="A15" s="94">
        <v>69</v>
      </c>
      <c r="B15" s="96" t="s">
        <v>9</v>
      </c>
      <c r="C15" s="96" t="s">
        <v>9</v>
      </c>
      <c r="D15" s="96" t="s">
        <v>9</v>
      </c>
      <c r="E15" s="96" t="s">
        <v>9</v>
      </c>
      <c r="F15" s="96" t="s">
        <v>19</v>
      </c>
      <c r="G15" s="96" t="s">
        <v>19</v>
      </c>
      <c r="H15" s="97">
        <v>0</v>
      </c>
      <c r="I15" s="97">
        <v>3.4872746666666662E-2</v>
      </c>
      <c r="J15" s="97">
        <v>2.986666666666667E-5</v>
      </c>
      <c r="K15" s="98" t="str">
        <f t="shared" si="0"/>
        <v>Correcto</v>
      </c>
    </row>
    <row r="16" spans="1:11" x14ac:dyDescent="0.25">
      <c r="A16" s="94">
        <v>86</v>
      </c>
      <c r="B16" s="96" t="s">
        <v>9</v>
      </c>
      <c r="C16" s="96" t="s">
        <v>10</v>
      </c>
      <c r="D16" s="96" t="s">
        <v>9</v>
      </c>
      <c r="E16" s="96" t="s">
        <v>9</v>
      </c>
      <c r="F16" s="96" t="s">
        <v>19</v>
      </c>
      <c r="G16" s="96" t="s">
        <v>19</v>
      </c>
      <c r="H16" s="97">
        <v>0</v>
      </c>
      <c r="I16" s="97">
        <v>9.1540959999999977E-2</v>
      </c>
      <c r="J16" s="97">
        <v>2.0906666666666674E-4</v>
      </c>
      <c r="K16" s="98" t="str">
        <f t="shared" si="0"/>
        <v>Correcto</v>
      </c>
    </row>
    <row r="17" spans="1:11" x14ac:dyDescent="0.25">
      <c r="A17" s="94">
        <v>87</v>
      </c>
      <c r="B17" s="96" t="s">
        <v>9</v>
      </c>
      <c r="C17" s="96" t="s">
        <v>10</v>
      </c>
      <c r="D17" s="96" t="s">
        <v>9</v>
      </c>
      <c r="E17" s="96" t="s">
        <v>9</v>
      </c>
      <c r="F17" s="96" t="s">
        <v>19</v>
      </c>
      <c r="G17" s="96" t="s">
        <v>19</v>
      </c>
      <c r="H17" s="97">
        <v>0</v>
      </c>
      <c r="I17" s="97">
        <v>9.1540959999999977E-2</v>
      </c>
      <c r="J17" s="97">
        <v>2.0906666666666674E-4</v>
      </c>
      <c r="K17" s="98" t="str">
        <f t="shared" si="0"/>
        <v>Correcto</v>
      </c>
    </row>
    <row r="18" spans="1:11" x14ac:dyDescent="0.25">
      <c r="A18" s="94">
        <v>88</v>
      </c>
      <c r="B18" s="96" t="s">
        <v>9</v>
      </c>
      <c r="C18" s="96" t="s">
        <v>10</v>
      </c>
      <c r="D18" s="96" t="s">
        <v>9</v>
      </c>
      <c r="E18" s="96" t="s">
        <v>9</v>
      </c>
      <c r="F18" s="96" t="s">
        <v>19</v>
      </c>
      <c r="G18" s="96" t="s">
        <v>19</v>
      </c>
      <c r="H18" s="97">
        <v>0</v>
      </c>
      <c r="I18" s="97">
        <v>9.1540959999999977E-2</v>
      </c>
      <c r="J18" s="97">
        <v>2.0906666666666674E-4</v>
      </c>
      <c r="K18" s="98" t="str">
        <f t="shared" si="0"/>
        <v>Correcto</v>
      </c>
    </row>
    <row r="19" spans="1:11" x14ac:dyDescent="0.25">
      <c r="A19" s="94">
        <v>97</v>
      </c>
      <c r="B19" s="96" t="s">
        <v>9</v>
      </c>
      <c r="C19" s="96" t="s">
        <v>8</v>
      </c>
      <c r="D19" s="96" t="s">
        <v>10</v>
      </c>
      <c r="E19" s="96" t="s">
        <v>10</v>
      </c>
      <c r="F19" s="96" t="s">
        <v>17</v>
      </c>
      <c r="G19" s="96" t="s">
        <v>17</v>
      </c>
      <c r="H19" s="97">
        <v>0</v>
      </c>
      <c r="I19" s="97">
        <v>3.7295999999999987E-4</v>
      </c>
      <c r="J19" s="97">
        <v>5.1408000000000002E-2</v>
      </c>
      <c r="K19" s="98" t="str">
        <f t="shared" si="0"/>
        <v>Correcto</v>
      </c>
    </row>
    <row r="20" spans="1:11" x14ac:dyDescent="0.25">
      <c r="A20" s="94">
        <v>98</v>
      </c>
      <c r="B20" s="96" t="s">
        <v>9</v>
      </c>
      <c r="C20" s="96" t="s">
        <v>10</v>
      </c>
      <c r="D20" s="96" t="s">
        <v>9</v>
      </c>
      <c r="E20" s="96" t="s">
        <v>10</v>
      </c>
      <c r="F20" s="96" t="s">
        <v>17</v>
      </c>
      <c r="G20" s="96" t="s">
        <v>19</v>
      </c>
      <c r="H20" s="97">
        <v>0</v>
      </c>
      <c r="I20" s="97">
        <v>5.843039999999999E-3</v>
      </c>
      <c r="J20" s="97">
        <v>1.8816000000000006E-3</v>
      </c>
      <c r="K20" s="98" t="str">
        <f t="shared" si="0"/>
        <v>Error</v>
      </c>
    </row>
    <row r="21" spans="1:11" x14ac:dyDescent="0.25">
      <c r="A21" s="94">
        <v>105</v>
      </c>
      <c r="B21" s="96" t="s">
        <v>10</v>
      </c>
      <c r="C21" s="96" t="s">
        <v>9</v>
      </c>
      <c r="D21" s="96" t="s">
        <v>8</v>
      </c>
      <c r="E21" s="96" t="s">
        <v>8</v>
      </c>
      <c r="F21" s="96" t="s">
        <v>15</v>
      </c>
      <c r="G21" s="96" t="s">
        <v>15</v>
      </c>
      <c r="H21" s="97">
        <v>2.1333333333333333E-2</v>
      </c>
      <c r="I21" s="97">
        <v>0</v>
      </c>
      <c r="J21" s="97">
        <v>0</v>
      </c>
      <c r="K21" s="98" t="str">
        <f t="shared" si="0"/>
        <v>Correcto</v>
      </c>
    </row>
    <row r="22" spans="1:11" x14ac:dyDescent="0.25">
      <c r="A22" s="94">
        <v>112</v>
      </c>
      <c r="B22" s="96" t="s">
        <v>10</v>
      </c>
      <c r="C22" s="96" t="s">
        <v>8</v>
      </c>
      <c r="D22" s="96" t="s">
        <v>9</v>
      </c>
      <c r="E22" s="96" t="s">
        <v>9</v>
      </c>
      <c r="F22" s="96" t="s">
        <v>19</v>
      </c>
      <c r="G22" s="96" t="s">
        <v>19</v>
      </c>
      <c r="H22" s="97">
        <v>0</v>
      </c>
      <c r="I22" s="97">
        <v>2.9688959999999986E-2</v>
      </c>
      <c r="J22" s="97">
        <v>1.0880000000000002E-3</v>
      </c>
      <c r="K22" s="98" t="str">
        <f t="shared" si="0"/>
        <v>Correcto</v>
      </c>
    </row>
    <row r="23" spans="1:11" x14ac:dyDescent="0.25">
      <c r="A23" s="94">
        <v>138</v>
      </c>
      <c r="B23" s="96" t="s">
        <v>10</v>
      </c>
      <c r="C23" s="96" t="s">
        <v>8</v>
      </c>
      <c r="D23" s="96" t="s">
        <v>10</v>
      </c>
      <c r="E23" s="96" t="s">
        <v>10</v>
      </c>
      <c r="F23" s="96" t="s">
        <v>17</v>
      </c>
      <c r="G23" s="96" t="s">
        <v>17</v>
      </c>
      <c r="H23" s="97">
        <v>0</v>
      </c>
      <c r="I23" s="97">
        <v>1.2095999999999997E-4</v>
      </c>
      <c r="J23" s="97">
        <v>0.11016000000000001</v>
      </c>
      <c r="K23" s="98" t="str">
        <f t="shared" si="0"/>
        <v>Correcto</v>
      </c>
    </row>
    <row r="24" spans="1:11" x14ac:dyDescent="0.25">
      <c r="A24" s="95">
        <v>144</v>
      </c>
      <c r="B24" s="99" t="s">
        <v>10</v>
      </c>
      <c r="C24" s="99" t="s">
        <v>8</v>
      </c>
      <c r="D24" s="99" t="s">
        <v>10</v>
      </c>
      <c r="E24" s="99" t="s">
        <v>10</v>
      </c>
      <c r="F24" s="99" t="s">
        <v>17</v>
      </c>
      <c r="G24" s="99" t="s">
        <v>17</v>
      </c>
      <c r="H24" s="100">
        <v>0</v>
      </c>
      <c r="I24" s="100">
        <v>1.2095999999999997E-4</v>
      </c>
      <c r="J24" s="100">
        <v>0.11016000000000001</v>
      </c>
      <c r="K24" s="101" t="str">
        <f t="shared" si="0"/>
        <v>Correcto</v>
      </c>
    </row>
    <row r="25" spans="1:11" x14ac:dyDescent="0.25">
      <c r="A25" s="91"/>
      <c r="B25" s="91"/>
      <c r="C25" s="91"/>
      <c r="D25" s="91"/>
      <c r="E25" s="91"/>
      <c r="F25" s="91"/>
      <c r="G25" s="91"/>
      <c r="H25" s="91"/>
      <c r="I25" s="91"/>
      <c r="J25" s="91"/>
      <c r="K25" s="91"/>
    </row>
    <row r="26" spans="1:11" x14ac:dyDescent="0.25">
      <c r="A26" s="91"/>
      <c r="B26" s="91"/>
      <c r="C26" s="91"/>
      <c r="D26" s="91"/>
      <c r="E26" s="91"/>
      <c r="F26" s="91"/>
      <c r="G26" s="91"/>
      <c r="H26" s="91"/>
      <c r="I26" s="91"/>
      <c r="J26" s="91"/>
      <c r="K26" s="91"/>
    </row>
    <row r="27" spans="1:11" x14ac:dyDescent="0.25">
      <c r="A27" s="92" t="s">
        <v>93</v>
      </c>
      <c r="B27" s="92"/>
      <c r="C27" s="92"/>
      <c r="D27" s="92"/>
      <c r="E27" s="91"/>
      <c r="F27" s="88" t="s">
        <v>94</v>
      </c>
      <c r="G27" s="90" t="s">
        <v>95</v>
      </c>
      <c r="H27" s="91"/>
      <c r="I27" s="91"/>
      <c r="J27" s="91"/>
      <c r="K27" s="91"/>
    </row>
    <row r="28" spans="1:11" ht="30" x14ac:dyDescent="0.25">
      <c r="A28" s="88" t="s">
        <v>96</v>
      </c>
      <c r="B28" s="89" t="s">
        <v>15</v>
      </c>
      <c r="C28" s="89" t="s">
        <v>19</v>
      </c>
      <c r="D28" s="90" t="s">
        <v>17</v>
      </c>
      <c r="E28" s="91"/>
      <c r="F28" s="107" t="s">
        <v>97</v>
      </c>
      <c r="G28" s="98">
        <f>COUNTIF($K$5:$K$24,"Correcto")</f>
        <v>19</v>
      </c>
      <c r="H28" s="91"/>
      <c r="I28" s="91"/>
      <c r="J28" s="91"/>
      <c r="K28" s="91"/>
    </row>
    <row r="29" spans="1:11" x14ac:dyDescent="0.25">
      <c r="A29" s="103" t="s">
        <v>15</v>
      </c>
      <c r="B29" s="96">
        <f>COUNTIFS($G$5:$G$24,$A29,$F$5:$F$24,B$28)</f>
        <v>10</v>
      </c>
      <c r="C29" s="96">
        <f>COUNTIFS($G$5:$G$24,$A29,$F$5:$F$24,C$28)</f>
        <v>0</v>
      </c>
      <c r="D29" s="98">
        <f>COUNTIFS($G$5:$G$24,$A29,$F$5:$F$24,D$28)</f>
        <v>0</v>
      </c>
      <c r="E29" s="91"/>
      <c r="F29" s="105" t="s">
        <v>98</v>
      </c>
      <c r="G29" s="98">
        <f>COUNTIF($K$5:$K$24,"Error")</f>
        <v>1</v>
      </c>
      <c r="H29" s="91"/>
      <c r="I29" s="91"/>
      <c r="J29" s="91"/>
      <c r="K29" s="91"/>
    </row>
    <row r="30" spans="1:11" x14ac:dyDescent="0.25">
      <c r="A30" s="103" t="s">
        <v>19</v>
      </c>
      <c r="B30" s="96">
        <f>COUNTIFS($G$5:$G$24,$A30,$F$5:$F$24,B$28)</f>
        <v>0</v>
      </c>
      <c r="C30" s="96">
        <f>COUNTIFS($G$5:$G$24,$A30,$F$5:$F$24,C$28)</f>
        <v>6</v>
      </c>
      <c r="D30" s="98">
        <f>COUNTIFS($G$5:$G$24,$A30,$F$5:$F$24,D$28)</f>
        <v>1</v>
      </c>
      <c r="E30" s="91"/>
      <c r="F30" s="105" t="s">
        <v>99</v>
      </c>
      <c r="G30" s="98">
        <f>COUNTA($A$5:$A$24)</f>
        <v>20</v>
      </c>
      <c r="H30" s="91"/>
      <c r="I30" s="91"/>
      <c r="J30" s="91"/>
      <c r="K30" s="91"/>
    </row>
    <row r="31" spans="1:11" x14ac:dyDescent="0.25">
      <c r="A31" s="104" t="s">
        <v>17</v>
      </c>
      <c r="B31" s="99">
        <f>COUNTIFS($G$5:$G$24,$A31,$F$5:$F$24,B$28)</f>
        <v>0</v>
      </c>
      <c r="C31" s="99">
        <f>COUNTIFS($G$5:$G$24,$A31,$F$5:$F$24,C$28)</f>
        <v>0</v>
      </c>
      <c r="D31" s="101">
        <f>COUNTIFS($G$5:$G$24,$A31,$F$5:$F$24,D$28)</f>
        <v>3</v>
      </c>
      <c r="E31" s="91"/>
      <c r="F31" s="106" t="s">
        <v>100</v>
      </c>
      <c r="G31" s="102">
        <f>G28/G30</f>
        <v>0.95</v>
      </c>
      <c r="H31" s="91"/>
      <c r="I31" s="91"/>
      <c r="J31" s="91"/>
      <c r="K31" s="91"/>
    </row>
    <row r="32" spans="1:11" x14ac:dyDescent="0.25">
      <c r="A32" s="91"/>
      <c r="B32" s="91"/>
      <c r="C32" s="91"/>
      <c r="D32" s="91"/>
      <c r="E32" s="91"/>
      <c r="F32" s="91"/>
      <c r="G32" s="91"/>
      <c r="H32" s="91"/>
      <c r="I32" s="91"/>
      <c r="J32" s="91"/>
      <c r="K32" s="91"/>
    </row>
    <row r="33" spans="1:11" x14ac:dyDescent="0.25">
      <c r="A33" s="91"/>
      <c r="B33" s="91"/>
      <c r="C33" s="91"/>
      <c r="D33" s="91"/>
      <c r="E33" s="91"/>
      <c r="F33" s="91"/>
      <c r="G33" s="91"/>
      <c r="H33" s="91"/>
      <c r="I33" s="91"/>
      <c r="J33" s="91"/>
      <c r="K33" s="91"/>
    </row>
    <row r="34" spans="1:11" x14ac:dyDescent="0.25">
      <c r="A34" s="93" t="s">
        <v>101</v>
      </c>
      <c r="B34" s="93"/>
      <c r="C34" s="93"/>
      <c r="D34" s="93"/>
      <c r="E34" s="93"/>
      <c r="F34" s="93"/>
      <c r="G34" s="93"/>
      <c r="H34" s="93"/>
      <c r="I34" s="93"/>
      <c r="J34" s="93"/>
      <c r="K34" s="93"/>
    </row>
    <row r="35" spans="1:11" x14ac:dyDescent="0.25">
      <c r="A35" s="93"/>
      <c r="B35" s="93"/>
      <c r="C35" s="93"/>
      <c r="D35" s="93"/>
      <c r="E35" s="93"/>
      <c r="F35" s="93"/>
      <c r="G35" s="93"/>
      <c r="H35" s="93"/>
      <c r="I35" s="93"/>
      <c r="J35" s="93"/>
      <c r="K35" s="93"/>
    </row>
    <row r="36" spans="1:11" x14ac:dyDescent="0.25">
      <c r="A36" s="93"/>
      <c r="B36" s="93"/>
      <c r="C36" s="93"/>
      <c r="D36" s="93"/>
      <c r="E36" s="93"/>
      <c r="F36" s="93"/>
      <c r="G36" s="93"/>
      <c r="H36" s="93"/>
      <c r="I36" s="93"/>
      <c r="J36" s="93"/>
      <c r="K36" s="93"/>
    </row>
  </sheetData>
  <mergeCells count="3">
    <mergeCell ref="A27:D27"/>
    <mergeCell ref="A34:K36"/>
    <mergeCell ref="A2:K2"/>
  </mergeCells>
  <conditionalFormatting sqref="A5:K24">
    <cfRule type="expression" dxfId="1" priority="1">
      <formula>$K5="Error"</formula>
    </cfRule>
    <cfRule type="expression" dxfId="0" priority="2">
      <formula>$K5="Correcto"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iris.data</vt:lpstr>
      <vt:lpstr>disc_a1</vt:lpstr>
      <vt:lpstr>Evaluacion_20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By Chetos</dc:creator>
  <cp:lastModifiedBy>GERARDO GOMEZ PEREZ</cp:lastModifiedBy>
  <dcterms:created xsi:type="dcterms:W3CDTF">2026-09-03T01:54:19Z</dcterms:created>
  <dcterms:modified xsi:type="dcterms:W3CDTF">2026-09-03T02:01:08Z</dcterms:modified>
</cp:coreProperties>
</file>